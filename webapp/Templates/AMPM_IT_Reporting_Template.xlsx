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ndsa\OneDrive\Desktop\"/>
    </mc:Choice>
  </mc:AlternateContent>
  <xr:revisionPtr revIDLastSave="0" documentId="8_{5FA2A8F1-AD1B-447B-8326-2FBADABF292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shboard" sheetId="1" r:id="rId1"/>
    <sheet name="Software Register" sheetId="2" r:id="rId2"/>
    <sheet name="Online Subscriptions" sheetId="3" r:id="rId3"/>
    <sheet name="IT Spend Log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6" i="4" l="1"/>
  <c r="M306" i="4"/>
  <c r="O306" i="4" s="1"/>
  <c r="B306" i="4"/>
  <c r="T305" i="4"/>
  <c r="M305" i="4"/>
  <c r="O305" i="4" s="1"/>
  <c r="B305" i="4"/>
  <c r="T304" i="4"/>
  <c r="M304" i="4"/>
  <c r="O304" i="4" s="1"/>
  <c r="B304" i="4"/>
  <c r="T303" i="4"/>
  <c r="M303" i="4"/>
  <c r="O303" i="4" s="1"/>
  <c r="B303" i="4"/>
  <c r="T302" i="4"/>
  <c r="M302" i="4"/>
  <c r="O302" i="4" s="1"/>
  <c r="B302" i="4"/>
  <c r="T301" i="4"/>
  <c r="M301" i="4"/>
  <c r="O301" i="4" s="1"/>
  <c r="B301" i="4"/>
  <c r="T300" i="4"/>
  <c r="M300" i="4"/>
  <c r="O300" i="4" s="1"/>
  <c r="B300" i="4"/>
  <c r="T299" i="4"/>
  <c r="M299" i="4"/>
  <c r="O299" i="4" s="1"/>
  <c r="B299" i="4"/>
  <c r="T298" i="4"/>
  <c r="M298" i="4"/>
  <c r="O298" i="4" s="1"/>
  <c r="B298" i="4"/>
  <c r="T297" i="4"/>
  <c r="M297" i="4"/>
  <c r="O297" i="4" s="1"/>
  <c r="B297" i="4"/>
  <c r="T296" i="4"/>
  <c r="M296" i="4"/>
  <c r="O296" i="4" s="1"/>
  <c r="B296" i="4"/>
  <c r="T295" i="4"/>
  <c r="M295" i="4"/>
  <c r="O295" i="4" s="1"/>
  <c r="B295" i="4"/>
  <c r="T294" i="4"/>
  <c r="M294" i="4"/>
  <c r="O294" i="4" s="1"/>
  <c r="B294" i="4"/>
  <c r="T293" i="4"/>
  <c r="M293" i="4"/>
  <c r="O293" i="4" s="1"/>
  <c r="B293" i="4"/>
  <c r="T292" i="4"/>
  <c r="M292" i="4"/>
  <c r="O292" i="4" s="1"/>
  <c r="B292" i="4"/>
  <c r="T291" i="4"/>
  <c r="M291" i="4"/>
  <c r="O291" i="4" s="1"/>
  <c r="B291" i="4"/>
  <c r="T290" i="4"/>
  <c r="M290" i="4"/>
  <c r="O290" i="4" s="1"/>
  <c r="B290" i="4"/>
  <c r="T289" i="4"/>
  <c r="M289" i="4"/>
  <c r="O289" i="4" s="1"/>
  <c r="B289" i="4"/>
  <c r="T288" i="4"/>
  <c r="M288" i="4"/>
  <c r="O288" i="4" s="1"/>
  <c r="B288" i="4"/>
  <c r="T287" i="4"/>
  <c r="M287" i="4"/>
  <c r="O287" i="4" s="1"/>
  <c r="B287" i="4"/>
  <c r="T286" i="4"/>
  <c r="M286" i="4"/>
  <c r="O286" i="4" s="1"/>
  <c r="B286" i="4"/>
  <c r="T285" i="4"/>
  <c r="M285" i="4"/>
  <c r="O285" i="4" s="1"/>
  <c r="B285" i="4"/>
  <c r="T284" i="4"/>
  <c r="M284" i="4"/>
  <c r="O284" i="4" s="1"/>
  <c r="B284" i="4"/>
  <c r="T283" i="4"/>
  <c r="M283" i="4"/>
  <c r="O283" i="4" s="1"/>
  <c r="B283" i="4"/>
  <c r="T282" i="4"/>
  <c r="M282" i="4"/>
  <c r="O282" i="4" s="1"/>
  <c r="B282" i="4"/>
  <c r="T281" i="4"/>
  <c r="M281" i="4"/>
  <c r="O281" i="4" s="1"/>
  <c r="B281" i="4"/>
  <c r="T280" i="4"/>
  <c r="M280" i="4"/>
  <c r="O280" i="4" s="1"/>
  <c r="B280" i="4"/>
  <c r="T279" i="4"/>
  <c r="M279" i="4"/>
  <c r="O279" i="4" s="1"/>
  <c r="B279" i="4"/>
  <c r="T278" i="4"/>
  <c r="M278" i="4"/>
  <c r="O278" i="4" s="1"/>
  <c r="B278" i="4"/>
  <c r="T277" i="4"/>
  <c r="M277" i="4"/>
  <c r="O277" i="4" s="1"/>
  <c r="B277" i="4"/>
  <c r="T276" i="4"/>
  <c r="M276" i="4"/>
  <c r="O276" i="4" s="1"/>
  <c r="B276" i="4"/>
  <c r="T275" i="4"/>
  <c r="M275" i="4"/>
  <c r="O275" i="4" s="1"/>
  <c r="B275" i="4"/>
  <c r="T274" i="4"/>
  <c r="M274" i="4"/>
  <c r="O274" i="4" s="1"/>
  <c r="B274" i="4"/>
  <c r="T273" i="4"/>
  <c r="M273" i="4"/>
  <c r="O273" i="4" s="1"/>
  <c r="B273" i="4"/>
  <c r="T272" i="4"/>
  <c r="M272" i="4"/>
  <c r="O272" i="4" s="1"/>
  <c r="B272" i="4"/>
  <c r="T271" i="4"/>
  <c r="M271" i="4"/>
  <c r="O271" i="4" s="1"/>
  <c r="B271" i="4"/>
  <c r="T270" i="4"/>
  <c r="M270" i="4"/>
  <c r="O270" i="4" s="1"/>
  <c r="B270" i="4"/>
  <c r="T269" i="4"/>
  <c r="M269" i="4"/>
  <c r="O269" i="4" s="1"/>
  <c r="B269" i="4"/>
  <c r="T268" i="4"/>
  <c r="M268" i="4"/>
  <c r="O268" i="4" s="1"/>
  <c r="B268" i="4"/>
  <c r="T267" i="4"/>
  <c r="M267" i="4"/>
  <c r="O267" i="4" s="1"/>
  <c r="B267" i="4"/>
  <c r="T266" i="4"/>
  <c r="M266" i="4"/>
  <c r="O266" i="4" s="1"/>
  <c r="B266" i="4"/>
  <c r="T265" i="4"/>
  <c r="M265" i="4"/>
  <c r="O265" i="4" s="1"/>
  <c r="B265" i="4"/>
  <c r="T264" i="4"/>
  <c r="M264" i="4"/>
  <c r="O264" i="4" s="1"/>
  <c r="B264" i="4"/>
  <c r="T263" i="4"/>
  <c r="M263" i="4"/>
  <c r="O263" i="4" s="1"/>
  <c r="B263" i="4"/>
  <c r="T262" i="4"/>
  <c r="M262" i="4"/>
  <c r="O262" i="4" s="1"/>
  <c r="B262" i="4"/>
  <c r="T261" i="4"/>
  <c r="M261" i="4"/>
  <c r="O261" i="4" s="1"/>
  <c r="B261" i="4"/>
  <c r="T260" i="4"/>
  <c r="M260" i="4"/>
  <c r="O260" i="4" s="1"/>
  <c r="B260" i="4"/>
  <c r="T259" i="4"/>
  <c r="M259" i="4"/>
  <c r="O259" i="4" s="1"/>
  <c r="B259" i="4"/>
  <c r="T258" i="4"/>
  <c r="M258" i="4"/>
  <c r="O258" i="4" s="1"/>
  <c r="B258" i="4"/>
  <c r="T257" i="4"/>
  <c r="M257" i="4"/>
  <c r="O257" i="4" s="1"/>
  <c r="B257" i="4"/>
  <c r="T256" i="4"/>
  <c r="M256" i="4"/>
  <c r="O256" i="4" s="1"/>
  <c r="B256" i="4"/>
  <c r="T255" i="4"/>
  <c r="M255" i="4"/>
  <c r="O255" i="4" s="1"/>
  <c r="B255" i="4"/>
  <c r="T254" i="4"/>
  <c r="M254" i="4"/>
  <c r="O254" i="4" s="1"/>
  <c r="B254" i="4"/>
  <c r="T253" i="4"/>
  <c r="M253" i="4"/>
  <c r="O253" i="4" s="1"/>
  <c r="B253" i="4"/>
  <c r="T252" i="4"/>
  <c r="M252" i="4"/>
  <c r="O252" i="4" s="1"/>
  <c r="B252" i="4"/>
  <c r="T251" i="4"/>
  <c r="M251" i="4"/>
  <c r="O251" i="4" s="1"/>
  <c r="B251" i="4"/>
  <c r="T250" i="4"/>
  <c r="M250" i="4"/>
  <c r="O250" i="4" s="1"/>
  <c r="B250" i="4"/>
  <c r="T249" i="4"/>
  <c r="M249" i="4"/>
  <c r="O249" i="4" s="1"/>
  <c r="B249" i="4"/>
  <c r="T248" i="4"/>
  <c r="M248" i="4"/>
  <c r="O248" i="4" s="1"/>
  <c r="B248" i="4"/>
  <c r="T247" i="4"/>
  <c r="M247" i="4"/>
  <c r="O247" i="4" s="1"/>
  <c r="B247" i="4"/>
  <c r="T246" i="4"/>
  <c r="M246" i="4"/>
  <c r="O246" i="4" s="1"/>
  <c r="B246" i="4"/>
  <c r="T245" i="4"/>
  <c r="M245" i="4"/>
  <c r="O245" i="4" s="1"/>
  <c r="B245" i="4"/>
  <c r="T244" i="4"/>
  <c r="M244" i="4"/>
  <c r="O244" i="4" s="1"/>
  <c r="B244" i="4"/>
  <c r="T243" i="4"/>
  <c r="M243" i="4"/>
  <c r="O243" i="4" s="1"/>
  <c r="B243" i="4"/>
  <c r="T242" i="4"/>
  <c r="M242" i="4"/>
  <c r="O242" i="4" s="1"/>
  <c r="B242" i="4"/>
  <c r="T241" i="4"/>
  <c r="M241" i="4"/>
  <c r="O241" i="4" s="1"/>
  <c r="B241" i="4"/>
  <c r="T240" i="4"/>
  <c r="M240" i="4"/>
  <c r="O240" i="4" s="1"/>
  <c r="B240" i="4"/>
  <c r="T239" i="4"/>
  <c r="M239" i="4"/>
  <c r="O239" i="4" s="1"/>
  <c r="B239" i="4"/>
  <c r="T238" i="4"/>
  <c r="M238" i="4"/>
  <c r="O238" i="4" s="1"/>
  <c r="B238" i="4"/>
  <c r="T237" i="4"/>
  <c r="M237" i="4"/>
  <c r="O237" i="4" s="1"/>
  <c r="B237" i="4"/>
  <c r="T236" i="4"/>
  <c r="M236" i="4"/>
  <c r="O236" i="4" s="1"/>
  <c r="B236" i="4"/>
  <c r="T235" i="4"/>
  <c r="M235" i="4"/>
  <c r="O235" i="4" s="1"/>
  <c r="B235" i="4"/>
  <c r="T234" i="4"/>
  <c r="M234" i="4"/>
  <c r="O234" i="4" s="1"/>
  <c r="B234" i="4"/>
  <c r="T233" i="4"/>
  <c r="M233" i="4"/>
  <c r="O233" i="4" s="1"/>
  <c r="B233" i="4"/>
  <c r="T232" i="4"/>
  <c r="M232" i="4"/>
  <c r="O232" i="4" s="1"/>
  <c r="B232" i="4"/>
  <c r="T231" i="4"/>
  <c r="M231" i="4"/>
  <c r="O231" i="4" s="1"/>
  <c r="B231" i="4"/>
  <c r="T230" i="4"/>
  <c r="M230" i="4"/>
  <c r="O230" i="4" s="1"/>
  <c r="B230" i="4"/>
  <c r="T229" i="4"/>
  <c r="M229" i="4"/>
  <c r="O229" i="4" s="1"/>
  <c r="B229" i="4"/>
  <c r="T228" i="4"/>
  <c r="M228" i="4"/>
  <c r="O228" i="4" s="1"/>
  <c r="B228" i="4"/>
  <c r="T227" i="4"/>
  <c r="M227" i="4"/>
  <c r="O227" i="4" s="1"/>
  <c r="B227" i="4"/>
  <c r="T226" i="4"/>
  <c r="M226" i="4"/>
  <c r="O226" i="4" s="1"/>
  <c r="B226" i="4"/>
  <c r="T225" i="4"/>
  <c r="M225" i="4"/>
  <c r="O225" i="4" s="1"/>
  <c r="B225" i="4"/>
  <c r="T224" i="4"/>
  <c r="M224" i="4"/>
  <c r="O224" i="4" s="1"/>
  <c r="B224" i="4"/>
  <c r="T223" i="4"/>
  <c r="M223" i="4"/>
  <c r="O223" i="4" s="1"/>
  <c r="B223" i="4"/>
  <c r="T222" i="4"/>
  <c r="M222" i="4"/>
  <c r="O222" i="4" s="1"/>
  <c r="B222" i="4"/>
  <c r="T221" i="4"/>
  <c r="M221" i="4"/>
  <c r="O221" i="4" s="1"/>
  <c r="B221" i="4"/>
  <c r="T220" i="4"/>
  <c r="M220" i="4"/>
  <c r="O220" i="4" s="1"/>
  <c r="B220" i="4"/>
  <c r="T219" i="4"/>
  <c r="M219" i="4"/>
  <c r="O219" i="4" s="1"/>
  <c r="B219" i="4"/>
  <c r="T218" i="4"/>
  <c r="M218" i="4"/>
  <c r="O218" i="4" s="1"/>
  <c r="B218" i="4"/>
  <c r="T217" i="4"/>
  <c r="M217" i="4"/>
  <c r="O217" i="4" s="1"/>
  <c r="B217" i="4"/>
  <c r="T216" i="4"/>
  <c r="M216" i="4"/>
  <c r="O216" i="4" s="1"/>
  <c r="B216" i="4"/>
  <c r="T215" i="4"/>
  <c r="M215" i="4"/>
  <c r="O215" i="4" s="1"/>
  <c r="B215" i="4"/>
  <c r="T214" i="4"/>
  <c r="M214" i="4"/>
  <c r="O214" i="4" s="1"/>
  <c r="B214" i="4"/>
  <c r="T213" i="4"/>
  <c r="M213" i="4"/>
  <c r="O213" i="4" s="1"/>
  <c r="B213" i="4"/>
  <c r="T212" i="4"/>
  <c r="M212" i="4"/>
  <c r="O212" i="4" s="1"/>
  <c r="B212" i="4"/>
  <c r="T211" i="4"/>
  <c r="M211" i="4"/>
  <c r="O211" i="4" s="1"/>
  <c r="B211" i="4"/>
  <c r="T210" i="4"/>
  <c r="M210" i="4"/>
  <c r="O210" i="4" s="1"/>
  <c r="B210" i="4"/>
  <c r="T209" i="4"/>
  <c r="M209" i="4"/>
  <c r="O209" i="4" s="1"/>
  <c r="B209" i="4"/>
  <c r="T208" i="4"/>
  <c r="M208" i="4"/>
  <c r="O208" i="4" s="1"/>
  <c r="B208" i="4"/>
  <c r="T207" i="4"/>
  <c r="M207" i="4"/>
  <c r="O207" i="4" s="1"/>
  <c r="B207" i="4"/>
  <c r="T206" i="4"/>
  <c r="M206" i="4"/>
  <c r="O206" i="4" s="1"/>
  <c r="B206" i="4"/>
  <c r="T205" i="4"/>
  <c r="M205" i="4"/>
  <c r="O205" i="4" s="1"/>
  <c r="B205" i="4"/>
  <c r="T204" i="4"/>
  <c r="M204" i="4"/>
  <c r="O204" i="4" s="1"/>
  <c r="B204" i="4"/>
  <c r="T203" i="4"/>
  <c r="M203" i="4"/>
  <c r="O203" i="4" s="1"/>
  <c r="B203" i="4"/>
  <c r="T202" i="4"/>
  <c r="M202" i="4"/>
  <c r="O202" i="4" s="1"/>
  <c r="B202" i="4"/>
  <c r="T201" i="4"/>
  <c r="M201" i="4"/>
  <c r="O201" i="4" s="1"/>
  <c r="B201" i="4"/>
  <c r="T200" i="4"/>
  <c r="M200" i="4"/>
  <c r="O200" i="4" s="1"/>
  <c r="B200" i="4"/>
  <c r="T199" i="4"/>
  <c r="M199" i="4"/>
  <c r="O199" i="4" s="1"/>
  <c r="B199" i="4"/>
  <c r="T198" i="4"/>
  <c r="M198" i="4"/>
  <c r="O198" i="4" s="1"/>
  <c r="B198" i="4"/>
  <c r="T197" i="4"/>
  <c r="M197" i="4"/>
  <c r="O197" i="4" s="1"/>
  <c r="B197" i="4"/>
  <c r="T196" i="4"/>
  <c r="M196" i="4"/>
  <c r="O196" i="4" s="1"/>
  <c r="B196" i="4"/>
  <c r="T195" i="4"/>
  <c r="M195" i="4"/>
  <c r="O195" i="4" s="1"/>
  <c r="B195" i="4"/>
  <c r="T194" i="4"/>
  <c r="M194" i="4"/>
  <c r="O194" i="4" s="1"/>
  <c r="B194" i="4"/>
  <c r="T193" i="4"/>
  <c r="M193" i="4"/>
  <c r="O193" i="4" s="1"/>
  <c r="B193" i="4"/>
  <c r="T192" i="4"/>
  <c r="M192" i="4"/>
  <c r="O192" i="4" s="1"/>
  <c r="B192" i="4"/>
  <c r="T191" i="4"/>
  <c r="M191" i="4"/>
  <c r="O191" i="4" s="1"/>
  <c r="B191" i="4"/>
  <c r="T190" i="4"/>
  <c r="M190" i="4"/>
  <c r="O190" i="4" s="1"/>
  <c r="B190" i="4"/>
  <c r="T189" i="4"/>
  <c r="M189" i="4"/>
  <c r="O189" i="4" s="1"/>
  <c r="B189" i="4"/>
  <c r="T188" i="4"/>
  <c r="M188" i="4"/>
  <c r="O188" i="4" s="1"/>
  <c r="B188" i="4"/>
  <c r="T187" i="4"/>
  <c r="M187" i="4"/>
  <c r="O187" i="4" s="1"/>
  <c r="B187" i="4"/>
  <c r="T186" i="4"/>
  <c r="M186" i="4"/>
  <c r="O186" i="4" s="1"/>
  <c r="B186" i="4"/>
  <c r="T185" i="4"/>
  <c r="M185" i="4"/>
  <c r="O185" i="4" s="1"/>
  <c r="B185" i="4"/>
  <c r="T184" i="4"/>
  <c r="M184" i="4"/>
  <c r="O184" i="4" s="1"/>
  <c r="B184" i="4"/>
  <c r="T183" i="4"/>
  <c r="M183" i="4"/>
  <c r="O183" i="4" s="1"/>
  <c r="B183" i="4"/>
  <c r="T182" i="4"/>
  <c r="M182" i="4"/>
  <c r="O182" i="4" s="1"/>
  <c r="B182" i="4"/>
  <c r="T181" i="4"/>
  <c r="M181" i="4"/>
  <c r="O181" i="4" s="1"/>
  <c r="B181" i="4"/>
  <c r="T180" i="4"/>
  <c r="M180" i="4"/>
  <c r="O180" i="4" s="1"/>
  <c r="B180" i="4"/>
  <c r="T179" i="4"/>
  <c r="M179" i="4"/>
  <c r="O179" i="4" s="1"/>
  <c r="B179" i="4"/>
  <c r="T178" i="4"/>
  <c r="M178" i="4"/>
  <c r="O178" i="4" s="1"/>
  <c r="B178" i="4"/>
  <c r="T177" i="4"/>
  <c r="M177" i="4"/>
  <c r="O177" i="4" s="1"/>
  <c r="B177" i="4"/>
  <c r="T176" i="4"/>
  <c r="M176" i="4"/>
  <c r="O176" i="4" s="1"/>
  <c r="B176" i="4"/>
  <c r="T175" i="4"/>
  <c r="M175" i="4"/>
  <c r="O175" i="4" s="1"/>
  <c r="B175" i="4"/>
  <c r="T174" i="4"/>
  <c r="M174" i="4"/>
  <c r="O174" i="4" s="1"/>
  <c r="B174" i="4"/>
  <c r="T173" i="4"/>
  <c r="M173" i="4"/>
  <c r="O173" i="4" s="1"/>
  <c r="B173" i="4"/>
  <c r="T172" i="4"/>
  <c r="M172" i="4"/>
  <c r="O172" i="4" s="1"/>
  <c r="B172" i="4"/>
  <c r="T171" i="4"/>
  <c r="M171" i="4"/>
  <c r="O171" i="4" s="1"/>
  <c r="B171" i="4"/>
  <c r="T170" i="4"/>
  <c r="M170" i="4"/>
  <c r="O170" i="4" s="1"/>
  <c r="B170" i="4"/>
  <c r="T169" i="4"/>
  <c r="M169" i="4"/>
  <c r="O169" i="4" s="1"/>
  <c r="B169" i="4"/>
  <c r="T168" i="4"/>
  <c r="M168" i="4"/>
  <c r="O168" i="4" s="1"/>
  <c r="B168" i="4"/>
  <c r="T167" i="4"/>
  <c r="M167" i="4"/>
  <c r="O167" i="4" s="1"/>
  <c r="B167" i="4"/>
  <c r="T166" i="4"/>
  <c r="M166" i="4"/>
  <c r="O166" i="4" s="1"/>
  <c r="B166" i="4"/>
  <c r="T165" i="4"/>
  <c r="M165" i="4"/>
  <c r="O165" i="4" s="1"/>
  <c r="B165" i="4"/>
  <c r="T164" i="4"/>
  <c r="M164" i="4"/>
  <c r="O164" i="4" s="1"/>
  <c r="B164" i="4"/>
  <c r="T163" i="4"/>
  <c r="M163" i="4"/>
  <c r="O163" i="4" s="1"/>
  <c r="B163" i="4"/>
  <c r="T162" i="4"/>
  <c r="M162" i="4"/>
  <c r="O162" i="4" s="1"/>
  <c r="B162" i="4"/>
  <c r="T161" i="4"/>
  <c r="M161" i="4"/>
  <c r="O161" i="4" s="1"/>
  <c r="B161" i="4"/>
  <c r="T160" i="4"/>
  <c r="O160" i="4"/>
  <c r="M160" i="4"/>
  <c r="B160" i="4"/>
  <c r="T159" i="4"/>
  <c r="M159" i="4"/>
  <c r="O159" i="4" s="1"/>
  <c r="B159" i="4"/>
  <c r="T158" i="4"/>
  <c r="M158" i="4"/>
  <c r="O158" i="4" s="1"/>
  <c r="B158" i="4"/>
  <c r="T157" i="4"/>
  <c r="M157" i="4"/>
  <c r="O157" i="4" s="1"/>
  <c r="B157" i="4"/>
  <c r="T156" i="4"/>
  <c r="M156" i="4"/>
  <c r="O156" i="4" s="1"/>
  <c r="B156" i="4"/>
  <c r="T155" i="4"/>
  <c r="M155" i="4"/>
  <c r="O155" i="4" s="1"/>
  <c r="B155" i="4"/>
  <c r="T154" i="4"/>
  <c r="M154" i="4"/>
  <c r="O154" i="4" s="1"/>
  <c r="B154" i="4"/>
  <c r="T153" i="4"/>
  <c r="M153" i="4"/>
  <c r="O153" i="4" s="1"/>
  <c r="B153" i="4"/>
  <c r="T152" i="4"/>
  <c r="M152" i="4"/>
  <c r="O152" i="4" s="1"/>
  <c r="B152" i="4"/>
  <c r="T151" i="4"/>
  <c r="M151" i="4"/>
  <c r="O151" i="4" s="1"/>
  <c r="B151" i="4"/>
  <c r="T150" i="4"/>
  <c r="O150" i="4"/>
  <c r="M150" i="4"/>
  <c r="B150" i="4"/>
  <c r="T149" i="4"/>
  <c r="M149" i="4"/>
  <c r="O149" i="4" s="1"/>
  <c r="B149" i="4"/>
  <c r="T148" i="4"/>
  <c r="M148" i="4"/>
  <c r="O148" i="4" s="1"/>
  <c r="B148" i="4"/>
  <c r="T147" i="4"/>
  <c r="M147" i="4"/>
  <c r="O147" i="4" s="1"/>
  <c r="B147" i="4"/>
  <c r="T146" i="4"/>
  <c r="M146" i="4"/>
  <c r="O146" i="4" s="1"/>
  <c r="B146" i="4"/>
  <c r="T145" i="4"/>
  <c r="M145" i="4"/>
  <c r="O145" i="4" s="1"/>
  <c r="B145" i="4"/>
  <c r="T144" i="4"/>
  <c r="O144" i="4"/>
  <c r="M144" i="4"/>
  <c r="B144" i="4"/>
  <c r="T143" i="4"/>
  <c r="M143" i="4"/>
  <c r="O143" i="4" s="1"/>
  <c r="B143" i="4"/>
  <c r="T142" i="4"/>
  <c r="M142" i="4"/>
  <c r="O142" i="4" s="1"/>
  <c r="B142" i="4"/>
  <c r="T141" i="4"/>
  <c r="M141" i="4"/>
  <c r="O141" i="4" s="1"/>
  <c r="B141" i="4"/>
  <c r="T140" i="4"/>
  <c r="M140" i="4"/>
  <c r="O140" i="4" s="1"/>
  <c r="B140" i="4"/>
  <c r="T139" i="4"/>
  <c r="M139" i="4"/>
  <c r="O139" i="4" s="1"/>
  <c r="B139" i="4"/>
  <c r="T138" i="4"/>
  <c r="M138" i="4"/>
  <c r="O138" i="4" s="1"/>
  <c r="B138" i="4"/>
  <c r="T137" i="4"/>
  <c r="M137" i="4"/>
  <c r="O137" i="4" s="1"/>
  <c r="B137" i="4"/>
  <c r="T136" i="4"/>
  <c r="O136" i="4"/>
  <c r="M136" i="4"/>
  <c r="B136" i="4"/>
  <c r="T135" i="4"/>
  <c r="O135" i="4"/>
  <c r="M135" i="4"/>
  <c r="B135" i="4"/>
  <c r="T134" i="4"/>
  <c r="O134" i="4"/>
  <c r="M134" i="4"/>
  <c r="B134" i="4"/>
  <c r="T133" i="4"/>
  <c r="O133" i="4"/>
  <c r="M133" i="4"/>
  <c r="B133" i="4"/>
  <c r="T132" i="4"/>
  <c r="O132" i="4"/>
  <c r="M132" i="4"/>
  <c r="B132" i="4"/>
  <c r="T131" i="4"/>
  <c r="O131" i="4"/>
  <c r="M131" i="4"/>
  <c r="B131" i="4"/>
  <c r="T130" i="4"/>
  <c r="O130" i="4"/>
  <c r="M130" i="4"/>
  <c r="B130" i="4"/>
  <c r="T129" i="4"/>
  <c r="O129" i="4"/>
  <c r="M129" i="4"/>
  <c r="B129" i="4"/>
  <c r="T128" i="4"/>
  <c r="O128" i="4"/>
  <c r="M128" i="4"/>
  <c r="B128" i="4"/>
  <c r="T127" i="4"/>
  <c r="O127" i="4"/>
  <c r="M127" i="4"/>
  <c r="B127" i="4"/>
  <c r="T126" i="4"/>
  <c r="O126" i="4"/>
  <c r="M126" i="4"/>
  <c r="B126" i="4"/>
  <c r="T125" i="4"/>
  <c r="O125" i="4"/>
  <c r="M125" i="4"/>
  <c r="B125" i="4"/>
  <c r="T124" i="4"/>
  <c r="O124" i="4"/>
  <c r="M124" i="4"/>
  <c r="B124" i="4"/>
  <c r="T123" i="4"/>
  <c r="O123" i="4"/>
  <c r="M123" i="4"/>
  <c r="B123" i="4"/>
  <c r="T122" i="4"/>
  <c r="O122" i="4"/>
  <c r="M122" i="4"/>
  <c r="B122" i="4"/>
  <c r="T121" i="4"/>
  <c r="O121" i="4"/>
  <c r="M121" i="4"/>
  <c r="B121" i="4"/>
  <c r="T120" i="4"/>
  <c r="O120" i="4"/>
  <c r="M120" i="4"/>
  <c r="B120" i="4"/>
  <c r="T119" i="4"/>
  <c r="O119" i="4"/>
  <c r="M119" i="4"/>
  <c r="B119" i="4"/>
  <c r="T118" i="4"/>
  <c r="O118" i="4"/>
  <c r="M118" i="4"/>
  <c r="B118" i="4"/>
  <c r="T117" i="4"/>
  <c r="O117" i="4"/>
  <c r="M117" i="4"/>
  <c r="B117" i="4"/>
  <c r="T116" i="4"/>
  <c r="O116" i="4"/>
  <c r="M116" i="4"/>
  <c r="B116" i="4"/>
  <c r="T115" i="4"/>
  <c r="O115" i="4"/>
  <c r="M115" i="4"/>
  <c r="B115" i="4"/>
  <c r="T114" i="4"/>
  <c r="O114" i="4"/>
  <c r="M114" i="4"/>
  <c r="B114" i="4"/>
  <c r="T113" i="4"/>
  <c r="O113" i="4"/>
  <c r="M113" i="4"/>
  <c r="B113" i="4"/>
  <c r="T112" i="4"/>
  <c r="O112" i="4"/>
  <c r="M112" i="4"/>
  <c r="B112" i="4"/>
  <c r="T111" i="4"/>
  <c r="O111" i="4"/>
  <c r="M111" i="4"/>
  <c r="B111" i="4"/>
  <c r="T110" i="4"/>
  <c r="O110" i="4"/>
  <c r="M110" i="4"/>
  <c r="B110" i="4"/>
  <c r="T109" i="4"/>
  <c r="O109" i="4"/>
  <c r="M109" i="4"/>
  <c r="B109" i="4"/>
  <c r="T108" i="4"/>
  <c r="O108" i="4"/>
  <c r="M108" i="4"/>
  <c r="B108" i="4"/>
  <c r="T107" i="4"/>
  <c r="O107" i="4"/>
  <c r="M107" i="4"/>
  <c r="B107" i="4"/>
  <c r="T106" i="4"/>
  <c r="O106" i="4"/>
  <c r="M106" i="4"/>
  <c r="B106" i="4"/>
  <c r="T105" i="4"/>
  <c r="O105" i="4"/>
  <c r="M105" i="4"/>
  <c r="B105" i="4"/>
  <c r="T104" i="4"/>
  <c r="O104" i="4"/>
  <c r="M104" i="4"/>
  <c r="B104" i="4"/>
  <c r="T103" i="4"/>
  <c r="O103" i="4"/>
  <c r="M103" i="4"/>
  <c r="B103" i="4"/>
  <c r="T102" i="4"/>
  <c r="O102" i="4"/>
  <c r="M102" i="4"/>
  <c r="B102" i="4"/>
  <c r="T101" i="4"/>
  <c r="O101" i="4"/>
  <c r="M101" i="4"/>
  <c r="B101" i="4"/>
  <c r="T100" i="4"/>
  <c r="O100" i="4"/>
  <c r="M100" i="4"/>
  <c r="B100" i="4"/>
  <c r="T99" i="4"/>
  <c r="O99" i="4"/>
  <c r="M99" i="4"/>
  <c r="B99" i="4"/>
  <c r="T98" i="4"/>
  <c r="O98" i="4"/>
  <c r="M98" i="4"/>
  <c r="B98" i="4"/>
  <c r="T97" i="4"/>
  <c r="O97" i="4"/>
  <c r="M97" i="4"/>
  <c r="B97" i="4"/>
  <c r="T96" i="4"/>
  <c r="O96" i="4"/>
  <c r="M96" i="4"/>
  <c r="B96" i="4"/>
  <c r="T95" i="4"/>
  <c r="M95" i="4"/>
  <c r="O95" i="4" s="1"/>
  <c r="B95" i="4"/>
  <c r="T94" i="4"/>
  <c r="M94" i="4"/>
  <c r="O94" i="4" s="1"/>
  <c r="B94" i="4"/>
  <c r="T93" i="4"/>
  <c r="M93" i="4"/>
  <c r="O93" i="4" s="1"/>
  <c r="B93" i="4"/>
  <c r="T92" i="4"/>
  <c r="M92" i="4"/>
  <c r="O92" i="4" s="1"/>
  <c r="B92" i="4"/>
  <c r="T91" i="4"/>
  <c r="M91" i="4"/>
  <c r="O91" i="4" s="1"/>
  <c r="B91" i="4"/>
  <c r="T90" i="4"/>
  <c r="O90" i="4"/>
  <c r="M90" i="4"/>
  <c r="B90" i="4"/>
  <c r="T89" i="4"/>
  <c r="M89" i="4"/>
  <c r="O89" i="4" s="1"/>
  <c r="B89" i="4"/>
  <c r="T88" i="4"/>
  <c r="O88" i="4"/>
  <c r="M88" i="4"/>
  <c r="B88" i="4"/>
  <c r="T87" i="4"/>
  <c r="M87" i="4"/>
  <c r="O87" i="4" s="1"/>
  <c r="B87" i="4"/>
  <c r="T86" i="4"/>
  <c r="M86" i="4"/>
  <c r="O86" i="4" s="1"/>
  <c r="B86" i="4"/>
  <c r="T85" i="4"/>
  <c r="M85" i="4"/>
  <c r="O85" i="4" s="1"/>
  <c r="B85" i="4"/>
  <c r="T84" i="4"/>
  <c r="O84" i="4"/>
  <c r="M84" i="4"/>
  <c r="B84" i="4"/>
  <c r="T83" i="4"/>
  <c r="M83" i="4"/>
  <c r="O83" i="4" s="1"/>
  <c r="B83" i="4"/>
  <c r="T82" i="4"/>
  <c r="M82" i="4"/>
  <c r="O82" i="4" s="1"/>
  <c r="B82" i="4"/>
  <c r="T81" i="4"/>
  <c r="M81" i="4"/>
  <c r="O81" i="4" s="1"/>
  <c r="B81" i="4"/>
  <c r="T80" i="4"/>
  <c r="O80" i="4"/>
  <c r="M80" i="4"/>
  <c r="B80" i="4"/>
  <c r="T79" i="4"/>
  <c r="M79" i="4"/>
  <c r="O79" i="4" s="1"/>
  <c r="B79" i="4"/>
  <c r="T78" i="4"/>
  <c r="M78" i="4"/>
  <c r="O78" i="4" s="1"/>
  <c r="B78" i="4"/>
  <c r="T77" i="4"/>
  <c r="M77" i="4"/>
  <c r="O77" i="4" s="1"/>
  <c r="B77" i="4"/>
  <c r="T76" i="4"/>
  <c r="M76" i="4"/>
  <c r="O76" i="4" s="1"/>
  <c r="B76" i="4"/>
  <c r="T75" i="4"/>
  <c r="M75" i="4"/>
  <c r="O75" i="4" s="1"/>
  <c r="B75" i="4"/>
  <c r="T74" i="4"/>
  <c r="O74" i="4"/>
  <c r="M74" i="4"/>
  <c r="B74" i="4"/>
  <c r="T73" i="4"/>
  <c r="M73" i="4"/>
  <c r="O73" i="4" s="1"/>
  <c r="B73" i="4"/>
  <c r="T72" i="4"/>
  <c r="O72" i="4"/>
  <c r="M72" i="4"/>
  <c r="B72" i="4"/>
  <c r="T71" i="4"/>
  <c r="M71" i="4"/>
  <c r="O71" i="4" s="1"/>
  <c r="B71" i="4"/>
  <c r="T70" i="4"/>
  <c r="M70" i="4"/>
  <c r="O70" i="4" s="1"/>
  <c r="B70" i="4"/>
  <c r="T69" i="4"/>
  <c r="M69" i="4"/>
  <c r="O69" i="4" s="1"/>
  <c r="B69" i="4"/>
  <c r="T68" i="4"/>
  <c r="O68" i="4"/>
  <c r="M68" i="4"/>
  <c r="B68" i="4"/>
  <c r="T67" i="4"/>
  <c r="M67" i="4"/>
  <c r="O67" i="4" s="1"/>
  <c r="B67" i="4"/>
  <c r="T66" i="4"/>
  <c r="M66" i="4"/>
  <c r="O66" i="4" s="1"/>
  <c r="B66" i="4"/>
  <c r="T65" i="4"/>
  <c r="M65" i="4"/>
  <c r="O65" i="4" s="1"/>
  <c r="B65" i="4"/>
  <c r="T64" i="4"/>
  <c r="O64" i="4"/>
  <c r="M64" i="4"/>
  <c r="B64" i="4"/>
  <c r="T63" i="4"/>
  <c r="M63" i="4"/>
  <c r="O63" i="4" s="1"/>
  <c r="B63" i="4"/>
  <c r="T62" i="4"/>
  <c r="M62" i="4"/>
  <c r="O62" i="4" s="1"/>
  <c r="B62" i="4"/>
  <c r="T61" i="4"/>
  <c r="M61" i="4"/>
  <c r="O61" i="4" s="1"/>
  <c r="B61" i="4"/>
  <c r="T60" i="4"/>
  <c r="M60" i="4"/>
  <c r="O60" i="4" s="1"/>
  <c r="B60" i="4"/>
  <c r="T59" i="4"/>
  <c r="M59" i="4"/>
  <c r="O59" i="4" s="1"/>
  <c r="B59" i="4"/>
  <c r="T58" i="4"/>
  <c r="O58" i="4"/>
  <c r="M58" i="4"/>
  <c r="B58" i="4"/>
  <c r="T57" i="4"/>
  <c r="M57" i="4"/>
  <c r="O57" i="4" s="1"/>
  <c r="B57" i="4"/>
  <c r="T56" i="4"/>
  <c r="O56" i="4"/>
  <c r="M56" i="4"/>
  <c r="B56" i="4"/>
  <c r="T55" i="4"/>
  <c r="M55" i="4"/>
  <c r="O55" i="4" s="1"/>
  <c r="B55" i="4"/>
  <c r="T54" i="4"/>
  <c r="M54" i="4"/>
  <c r="O54" i="4" s="1"/>
  <c r="B54" i="4"/>
  <c r="T53" i="4"/>
  <c r="M53" i="4"/>
  <c r="O53" i="4" s="1"/>
  <c r="B53" i="4"/>
  <c r="T52" i="4"/>
  <c r="O52" i="4"/>
  <c r="M52" i="4"/>
  <c r="B52" i="4"/>
  <c r="T51" i="4"/>
  <c r="M51" i="4"/>
  <c r="O51" i="4" s="1"/>
  <c r="B51" i="4"/>
  <c r="T50" i="4"/>
  <c r="M50" i="4"/>
  <c r="O50" i="4" s="1"/>
  <c r="B50" i="4"/>
  <c r="T49" i="4"/>
  <c r="M49" i="4"/>
  <c r="O49" i="4" s="1"/>
  <c r="B49" i="4"/>
  <c r="T48" i="4"/>
  <c r="O48" i="4"/>
  <c r="M48" i="4"/>
  <c r="B48" i="4"/>
  <c r="T47" i="4"/>
  <c r="M47" i="4"/>
  <c r="O47" i="4" s="1"/>
  <c r="B47" i="4"/>
  <c r="T46" i="4"/>
  <c r="M46" i="4"/>
  <c r="O46" i="4" s="1"/>
  <c r="B46" i="4"/>
  <c r="T45" i="4"/>
  <c r="M45" i="4"/>
  <c r="O45" i="4" s="1"/>
  <c r="B45" i="4"/>
  <c r="T44" i="4"/>
  <c r="O44" i="4"/>
  <c r="M44" i="4"/>
  <c r="B44" i="4"/>
  <c r="T43" i="4"/>
  <c r="M43" i="4"/>
  <c r="O43" i="4" s="1"/>
  <c r="B43" i="4"/>
  <c r="T42" i="4"/>
  <c r="O42" i="4"/>
  <c r="M42" i="4"/>
  <c r="B42" i="4"/>
  <c r="T41" i="4"/>
  <c r="M41" i="4"/>
  <c r="O41" i="4" s="1"/>
  <c r="B41" i="4"/>
  <c r="T40" i="4"/>
  <c r="O40" i="4"/>
  <c r="M40" i="4"/>
  <c r="B40" i="4"/>
  <c r="T39" i="4"/>
  <c r="M39" i="4"/>
  <c r="O39" i="4" s="1"/>
  <c r="B39" i="4"/>
  <c r="T38" i="4"/>
  <c r="M38" i="4"/>
  <c r="O38" i="4" s="1"/>
  <c r="B38" i="4"/>
  <c r="T37" i="4"/>
  <c r="M37" i="4"/>
  <c r="O37" i="4" s="1"/>
  <c r="B37" i="4"/>
  <c r="T36" i="4"/>
  <c r="O36" i="4"/>
  <c r="M36" i="4"/>
  <c r="B36" i="4"/>
  <c r="T35" i="4"/>
  <c r="M35" i="4"/>
  <c r="O35" i="4" s="1"/>
  <c r="B35" i="4"/>
  <c r="T34" i="4"/>
  <c r="M34" i="4"/>
  <c r="O34" i="4" s="1"/>
  <c r="B34" i="4"/>
  <c r="T33" i="4"/>
  <c r="M33" i="4"/>
  <c r="O33" i="4" s="1"/>
  <c r="B33" i="4"/>
  <c r="T32" i="4"/>
  <c r="O32" i="4"/>
  <c r="M32" i="4"/>
  <c r="B32" i="4"/>
  <c r="T31" i="4"/>
  <c r="M31" i="4"/>
  <c r="O31" i="4" s="1"/>
  <c r="B31" i="4"/>
  <c r="T30" i="4"/>
  <c r="M30" i="4"/>
  <c r="O30" i="4" s="1"/>
  <c r="B30" i="4"/>
  <c r="T29" i="4"/>
  <c r="M29" i="4"/>
  <c r="O29" i="4" s="1"/>
  <c r="B29" i="4"/>
  <c r="T28" i="4"/>
  <c r="O28" i="4"/>
  <c r="M28" i="4"/>
  <c r="B28" i="4"/>
  <c r="T27" i="4"/>
  <c r="M27" i="4"/>
  <c r="O27" i="4" s="1"/>
  <c r="B27" i="4"/>
  <c r="T26" i="4"/>
  <c r="O26" i="4"/>
  <c r="M26" i="4"/>
  <c r="B26" i="4"/>
  <c r="T25" i="4"/>
  <c r="M25" i="4"/>
  <c r="O25" i="4" s="1"/>
  <c r="B25" i="4"/>
  <c r="T24" i="4"/>
  <c r="O24" i="4"/>
  <c r="M24" i="4"/>
  <c r="B24" i="4"/>
  <c r="T23" i="4"/>
  <c r="M23" i="4"/>
  <c r="O23" i="4" s="1"/>
  <c r="B23" i="4"/>
  <c r="T22" i="4"/>
  <c r="M22" i="4"/>
  <c r="O22" i="4" s="1"/>
  <c r="B22" i="4"/>
  <c r="T21" i="4"/>
  <c r="M21" i="4"/>
  <c r="O21" i="4" s="1"/>
  <c r="B21" i="4"/>
  <c r="T20" i="4"/>
  <c r="O20" i="4"/>
  <c r="M20" i="4"/>
  <c r="B20" i="4"/>
  <c r="T19" i="4"/>
  <c r="M19" i="4"/>
  <c r="O19" i="4" s="1"/>
  <c r="B19" i="4"/>
  <c r="T18" i="4"/>
  <c r="M18" i="4"/>
  <c r="O18" i="4" s="1"/>
  <c r="B18" i="4"/>
  <c r="T17" i="4"/>
  <c r="M17" i="4"/>
  <c r="O17" i="4" s="1"/>
  <c r="B17" i="4"/>
  <c r="T16" i="4"/>
  <c r="O16" i="4"/>
  <c r="M16" i="4"/>
  <c r="B16" i="4"/>
  <c r="T15" i="4"/>
  <c r="M15" i="4"/>
  <c r="O15" i="4" s="1"/>
  <c r="B15" i="4"/>
  <c r="T14" i="4"/>
  <c r="M14" i="4"/>
  <c r="O14" i="4" s="1"/>
  <c r="B14" i="4"/>
  <c r="T13" i="4"/>
  <c r="M13" i="4"/>
  <c r="O13" i="4" s="1"/>
  <c r="B13" i="4"/>
  <c r="T12" i="4"/>
  <c r="M12" i="4"/>
  <c r="O12" i="4" s="1"/>
  <c r="B12" i="4"/>
  <c r="T11" i="4"/>
  <c r="M11" i="4"/>
  <c r="O11" i="4" s="1"/>
  <c r="B11" i="4"/>
  <c r="T10" i="4"/>
  <c r="O10" i="4"/>
  <c r="M10" i="4"/>
  <c r="B10" i="4"/>
  <c r="T9" i="4"/>
  <c r="M9" i="4"/>
  <c r="O9" i="4" s="1"/>
  <c r="B9" i="4"/>
  <c r="T8" i="4"/>
  <c r="O8" i="4"/>
  <c r="M8" i="4"/>
  <c r="B8" i="4"/>
  <c r="T7" i="4"/>
  <c r="M7" i="4"/>
  <c r="O7" i="4" s="1"/>
  <c r="B7" i="4"/>
  <c r="AF206" i="3"/>
  <c r="AE206" i="3"/>
  <c r="Q206" i="3"/>
  <c r="S206" i="3" s="1"/>
  <c r="M206" i="3"/>
  <c r="AF205" i="3"/>
  <c r="AE205" i="3"/>
  <c r="Q205" i="3"/>
  <c r="S205" i="3" s="1"/>
  <c r="M205" i="3"/>
  <c r="AF204" i="3"/>
  <c r="AE204" i="3"/>
  <c r="S204" i="3"/>
  <c r="Q204" i="3"/>
  <c r="M204" i="3"/>
  <c r="AF203" i="3"/>
  <c r="AE203" i="3"/>
  <c r="Q203" i="3"/>
  <c r="S203" i="3" s="1"/>
  <c r="M203" i="3"/>
  <c r="AF202" i="3"/>
  <c r="AE202" i="3"/>
  <c r="Q202" i="3"/>
  <c r="S202" i="3" s="1"/>
  <c r="M202" i="3"/>
  <c r="AF201" i="3"/>
  <c r="AE201" i="3"/>
  <c r="Q201" i="3"/>
  <c r="S201" i="3" s="1"/>
  <c r="M201" i="3"/>
  <c r="AF200" i="3"/>
  <c r="AE200" i="3"/>
  <c r="Q200" i="3"/>
  <c r="S200" i="3" s="1"/>
  <c r="M200" i="3"/>
  <c r="AF199" i="3"/>
  <c r="AE199" i="3"/>
  <c r="Q199" i="3"/>
  <c r="S199" i="3" s="1"/>
  <c r="M199" i="3"/>
  <c r="AF198" i="3"/>
  <c r="AE198" i="3"/>
  <c r="Q198" i="3"/>
  <c r="S198" i="3" s="1"/>
  <c r="M198" i="3"/>
  <c r="AF197" i="3"/>
  <c r="AE197" i="3"/>
  <c r="Q197" i="3"/>
  <c r="S197" i="3" s="1"/>
  <c r="M197" i="3"/>
  <c r="AF196" i="3"/>
  <c r="AE196" i="3"/>
  <c r="Q196" i="3"/>
  <c r="S196" i="3" s="1"/>
  <c r="M196" i="3"/>
  <c r="AF195" i="3"/>
  <c r="AE195" i="3"/>
  <c r="S195" i="3"/>
  <c r="Q195" i="3"/>
  <c r="M195" i="3"/>
  <c r="AF194" i="3"/>
  <c r="AE194" i="3"/>
  <c r="Q194" i="3"/>
  <c r="S194" i="3" s="1"/>
  <c r="M194" i="3"/>
  <c r="AF193" i="3"/>
  <c r="AE193" i="3"/>
  <c r="Q193" i="3"/>
  <c r="S193" i="3" s="1"/>
  <c r="M193" i="3"/>
  <c r="AF192" i="3"/>
  <c r="AE192" i="3"/>
  <c r="Q192" i="3"/>
  <c r="S192" i="3" s="1"/>
  <c r="M192" i="3"/>
  <c r="AF191" i="3"/>
  <c r="AE191" i="3"/>
  <c r="Q191" i="3"/>
  <c r="S191" i="3" s="1"/>
  <c r="M191" i="3"/>
  <c r="AF190" i="3"/>
  <c r="AE190" i="3"/>
  <c r="Q190" i="3"/>
  <c r="S190" i="3" s="1"/>
  <c r="M190" i="3"/>
  <c r="AF189" i="3"/>
  <c r="AE189" i="3"/>
  <c r="Q189" i="3"/>
  <c r="S189" i="3" s="1"/>
  <c r="M189" i="3"/>
  <c r="AF188" i="3"/>
  <c r="AE188" i="3"/>
  <c r="S188" i="3"/>
  <c r="Q188" i="3"/>
  <c r="M188" i="3"/>
  <c r="AF187" i="3"/>
  <c r="AE187" i="3"/>
  <c r="Q187" i="3"/>
  <c r="S187" i="3" s="1"/>
  <c r="M187" i="3"/>
  <c r="AF186" i="3"/>
  <c r="AE186" i="3"/>
  <c r="Q186" i="3"/>
  <c r="S186" i="3" s="1"/>
  <c r="M186" i="3"/>
  <c r="AF185" i="3"/>
  <c r="AE185" i="3"/>
  <c r="Q185" i="3"/>
  <c r="S185" i="3" s="1"/>
  <c r="M185" i="3"/>
  <c r="AF184" i="3"/>
  <c r="AE184" i="3"/>
  <c r="S184" i="3"/>
  <c r="Q184" i="3"/>
  <c r="M184" i="3"/>
  <c r="AF183" i="3"/>
  <c r="AE183" i="3"/>
  <c r="Q183" i="3"/>
  <c r="S183" i="3" s="1"/>
  <c r="M183" i="3"/>
  <c r="AF182" i="3"/>
  <c r="AE182" i="3"/>
  <c r="Q182" i="3"/>
  <c r="S182" i="3" s="1"/>
  <c r="M182" i="3"/>
  <c r="AF181" i="3"/>
  <c r="AE181" i="3"/>
  <c r="Q181" i="3"/>
  <c r="S181" i="3" s="1"/>
  <c r="M181" i="3"/>
  <c r="AF180" i="3"/>
  <c r="AE180" i="3"/>
  <c r="S180" i="3"/>
  <c r="Q180" i="3"/>
  <c r="M180" i="3"/>
  <c r="AF179" i="3"/>
  <c r="AE179" i="3"/>
  <c r="S179" i="3"/>
  <c r="Q179" i="3"/>
  <c r="M179" i="3"/>
  <c r="AF178" i="3"/>
  <c r="AE178" i="3"/>
  <c r="Q178" i="3"/>
  <c r="S178" i="3" s="1"/>
  <c r="M178" i="3"/>
  <c r="AF177" i="3"/>
  <c r="AE177" i="3"/>
  <c r="Q177" i="3"/>
  <c r="S177" i="3" s="1"/>
  <c r="M177" i="3"/>
  <c r="AF176" i="3"/>
  <c r="AE176" i="3"/>
  <c r="Q176" i="3"/>
  <c r="S176" i="3" s="1"/>
  <c r="M176" i="3"/>
  <c r="AF175" i="3"/>
  <c r="AE175" i="3"/>
  <c r="Q175" i="3"/>
  <c r="S175" i="3" s="1"/>
  <c r="M175" i="3"/>
  <c r="AF174" i="3"/>
  <c r="AE174" i="3"/>
  <c r="Q174" i="3"/>
  <c r="S174" i="3" s="1"/>
  <c r="M174" i="3"/>
  <c r="AF173" i="3"/>
  <c r="AE173" i="3"/>
  <c r="Q173" i="3"/>
  <c r="S173" i="3" s="1"/>
  <c r="M173" i="3"/>
  <c r="AF172" i="3"/>
  <c r="AE172" i="3"/>
  <c r="Q172" i="3"/>
  <c r="S172" i="3" s="1"/>
  <c r="M172" i="3"/>
  <c r="AF171" i="3"/>
  <c r="AE171" i="3"/>
  <c r="S171" i="3"/>
  <c r="Q171" i="3"/>
  <c r="M171" i="3"/>
  <c r="AF170" i="3"/>
  <c r="AE170" i="3"/>
  <c r="Q170" i="3"/>
  <c r="S170" i="3" s="1"/>
  <c r="M170" i="3"/>
  <c r="AF169" i="3"/>
  <c r="AE169" i="3"/>
  <c r="Q169" i="3"/>
  <c r="S169" i="3" s="1"/>
  <c r="M169" i="3"/>
  <c r="AF168" i="3"/>
  <c r="AE168" i="3"/>
  <c r="S168" i="3"/>
  <c r="Q168" i="3"/>
  <c r="M168" i="3"/>
  <c r="AF167" i="3"/>
  <c r="AE167" i="3"/>
  <c r="Q167" i="3"/>
  <c r="S167" i="3" s="1"/>
  <c r="M167" i="3"/>
  <c r="AF166" i="3"/>
  <c r="AE166" i="3"/>
  <c r="Q166" i="3"/>
  <c r="S166" i="3" s="1"/>
  <c r="M166" i="3"/>
  <c r="AF165" i="3"/>
  <c r="AE165" i="3"/>
  <c r="Q165" i="3"/>
  <c r="S165" i="3" s="1"/>
  <c r="M165" i="3"/>
  <c r="AF164" i="3"/>
  <c r="AE164" i="3"/>
  <c r="Q164" i="3"/>
  <c r="S164" i="3" s="1"/>
  <c r="M164" i="3"/>
  <c r="AF163" i="3"/>
  <c r="AE163" i="3"/>
  <c r="Q163" i="3"/>
  <c r="S163" i="3" s="1"/>
  <c r="M163" i="3"/>
  <c r="AF162" i="3"/>
  <c r="AE162" i="3"/>
  <c r="Q162" i="3"/>
  <c r="S162" i="3" s="1"/>
  <c r="M162" i="3"/>
  <c r="AF161" i="3"/>
  <c r="AE161" i="3"/>
  <c r="Q161" i="3"/>
  <c r="S161" i="3" s="1"/>
  <c r="M161" i="3"/>
  <c r="AF160" i="3"/>
  <c r="AE160" i="3"/>
  <c r="S160" i="3"/>
  <c r="Q160" i="3"/>
  <c r="M160" i="3"/>
  <c r="AF159" i="3"/>
  <c r="AE159" i="3"/>
  <c r="Q159" i="3"/>
  <c r="S159" i="3" s="1"/>
  <c r="M159" i="3"/>
  <c r="AF158" i="3"/>
  <c r="AE158" i="3"/>
  <c r="Q158" i="3"/>
  <c r="S158" i="3" s="1"/>
  <c r="M158" i="3"/>
  <c r="AF157" i="3"/>
  <c r="AE157" i="3"/>
  <c r="Q157" i="3"/>
  <c r="S157" i="3" s="1"/>
  <c r="M157" i="3"/>
  <c r="AF156" i="3"/>
  <c r="AE156" i="3"/>
  <c r="Q156" i="3"/>
  <c r="S156" i="3" s="1"/>
  <c r="M156" i="3"/>
  <c r="AF155" i="3"/>
  <c r="AE155" i="3"/>
  <c r="Q155" i="3"/>
  <c r="S155" i="3" s="1"/>
  <c r="M155" i="3"/>
  <c r="AF154" i="3"/>
  <c r="AE154" i="3"/>
  <c r="Q154" i="3"/>
  <c r="S154" i="3" s="1"/>
  <c r="M154" i="3"/>
  <c r="AF153" i="3"/>
  <c r="AE153" i="3"/>
  <c r="Q153" i="3"/>
  <c r="S153" i="3" s="1"/>
  <c r="M153" i="3"/>
  <c r="AF152" i="3"/>
  <c r="AE152" i="3"/>
  <c r="Q152" i="3"/>
  <c r="S152" i="3" s="1"/>
  <c r="M152" i="3"/>
  <c r="AF151" i="3"/>
  <c r="AE151" i="3"/>
  <c r="Q151" i="3"/>
  <c r="S151" i="3" s="1"/>
  <c r="M151" i="3"/>
  <c r="AF150" i="3"/>
  <c r="AE150" i="3"/>
  <c r="Q150" i="3"/>
  <c r="S150" i="3" s="1"/>
  <c r="M150" i="3"/>
  <c r="AF149" i="3"/>
  <c r="AE149" i="3"/>
  <c r="Q149" i="3"/>
  <c r="S149" i="3" s="1"/>
  <c r="M149" i="3"/>
  <c r="AF148" i="3"/>
  <c r="AE148" i="3"/>
  <c r="Q148" i="3"/>
  <c r="S148" i="3" s="1"/>
  <c r="M148" i="3"/>
  <c r="AF147" i="3"/>
  <c r="AE147" i="3"/>
  <c r="S147" i="3"/>
  <c r="Q147" i="3"/>
  <c r="M147" i="3"/>
  <c r="AF146" i="3"/>
  <c r="AE146" i="3"/>
  <c r="Q146" i="3"/>
  <c r="S146" i="3" s="1"/>
  <c r="M146" i="3"/>
  <c r="AF145" i="3"/>
  <c r="AE145" i="3"/>
  <c r="Q145" i="3"/>
  <c r="S145" i="3" s="1"/>
  <c r="M145" i="3"/>
  <c r="AF144" i="3"/>
  <c r="AE144" i="3"/>
  <c r="Q144" i="3"/>
  <c r="S144" i="3" s="1"/>
  <c r="M144" i="3"/>
  <c r="AF143" i="3"/>
  <c r="AE143" i="3"/>
  <c r="Q143" i="3"/>
  <c r="S143" i="3" s="1"/>
  <c r="M143" i="3"/>
  <c r="AF142" i="3"/>
  <c r="AE142" i="3"/>
  <c r="Q142" i="3"/>
  <c r="S142" i="3" s="1"/>
  <c r="M142" i="3"/>
  <c r="AF141" i="3"/>
  <c r="AE141" i="3"/>
  <c r="Q141" i="3"/>
  <c r="S141" i="3" s="1"/>
  <c r="M141" i="3"/>
  <c r="AF140" i="3"/>
  <c r="AE140" i="3"/>
  <c r="S140" i="3"/>
  <c r="Q140" i="3"/>
  <c r="M140" i="3"/>
  <c r="AF139" i="3"/>
  <c r="AE139" i="3"/>
  <c r="Q139" i="3"/>
  <c r="S139" i="3" s="1"/>
  <c r="M139" i="3"/>
  <c r="AF138" i="3"/>
  <c r="AE138" i="3"/>
  <c r="S138" i="3"/>
  <c r="Q138" i="3"/>
  <c r="M138" i="3"/>
  <c r="AF137" i="3"/>
  <c r="AE137" i="3"/>
  <c r="Q137" i="3"/>
  <c r="S137" i="3" s="1"/>
  <c r="M137" i="3"/>
  <c r="AF136" i="3"/>
  <c r="AE136" i="3"/>
  <c r="Q136" i="3"/>
  <c r="S136" i="3" s="1"/>
  <c r="M136" i="3"/>
  <c r="AF135" i="3"/>
  <c r="AE135" i="3"/>
  <c r="Q135" i="3"/>
  <c r="S135" i="3" s="1"/>
  <c r="M135" i="3"/>
  <c r="AF134" i="3"/>
  <c r="AE134" i="3"/>
  <c r="Q134" i="3"/>
  <c r="S134" i="3" s="1"/>
  <c r="M134" i="3"/>
  <c r="AF133" i="3"/>
  <c r="AE133" i="3"/>
  <c r="Q133" i="3"/>
  <c r="S133" i="3" s="1"/>
  <c r="M133" i="3"/>
  <c r="AF132" i="3"/>
  <c r="AE132" i="3"/>
  <c r="Q132" i="3"/>
  <c r="S132" i="3" s="1"/>
  <c r="M132" i="3"/>
  <c r="AF131" i="3"/>
  <c r="AE131" i="3"/>
  <c r="S131" i="3"/>
  <c r="Q131" i="3"/>
  <c r="M131" i="3"/>
  <c r="AF130" i="3"/>
  <c r="AE130" i="3"/>
  <c r="Q130" i="3"/>
  <c r="S130" i="3" s="1"/>
  <c r="M130" i="3"/>
  <c r="AF129" i="3"/>
  <c r="AE129" i="3"/>
  <c r="Q129" i="3"/>
  <c r="S129" i="3" s="1"/>
  <c r="M129" i="3"/>
  <c r="AF128" i="3"/>
  <c r="AE128" i="3"/>
  <c r="Q128" i="3"/>
  <c r="S128" i="3" s="1"/>
  <c r="M128" i="3"/>
  <c r="AF127" i="3"/>
  <c r="AE127" i="3"/>
  <c r="Q127" i="3"/>
  <c r="S127" i="3" s="1"/>
  <c r="M127" i="3"/>
  <c r="AF126" i="3"/>
  <c r="AE126" i="3"/>
  <c r="Q126" i="3"/>
  <c r="S126" i="3" s="1"/>
  <c r="M126" i="3"/>
  <c r="AF125" i="3"/>
  <c r="AE125" i="3"/>
  <c r="Q125" i="3"/>
  <c r="S125" i="3" s="1"/>
  <c r="M125" i="3"/>
  <c r="AF124" i="3"/>
  <c r="AE124" i="3"/>
  <c r="S124" i="3"/>
  <c r="Q124" i="3"/>
  <c r="M124" i="3"/>
  <c r="AF123" i="3"/>
  <c r="AE123" i="3"/>
  <c r="Q123" i="3"/>
  <c r="S123" i="3" s="1"/>
  <c r="M123" i="3"/>
  <c r="AF122" i="3"/>
  <c r="AE122" i="3"/>
  <c r="S122" i="3"/>
  <c r="Q122" i="3"/>
  <c r="M122" i="3"/>
  <c r="AF121" i="3"/>
  <c r="AE121" i="3"/>
  <c r="Q121" i="3"/>
  <c r="S121" i="3" s="1"/>
  <c r="M121" i="3"/>
  <c r="AF120" i="3"/>
  <c r="AE120" i="3"/>
  <c r="Q120" i="3"/>
  <c r="S120" i="3" s="1"/>
  <c r="M120" i="3"/>
  <c r="AF119" i="3"/>
  <c r="AE119" i="3"/>
  <c r="Q119" i="3"/>
  <c r="S119" i="3" s="1"/>
  <c r="M119" i="3"/>
  <c r="AF118" i="3"/>
  <c r="AE118" i="3"/>
  <c r="Q118" i="3"/>
  <c r="S118" i="3" s="1"/>
  <c r="M118" i="3"/>
  <c r="AF117" i="3"/>
  <c r="AE117" i="3"/>
  <c r="Q117" i="3"/>
  <c r="S117" i="3" s="1"/>
  <c r="M117" i="3"/>
  <c r="AF116" i="3"/>
  <c r="AE116" i="3"/>
  <c r="S116" i="3"/>
  <c r="Q116" i="3"/>
  <c r="M116" i="3"/>
  <c r="AF115" i="3"/>
  <c r="AE115" i="3"/>
  <c r="S115" i="3"/>
  <c r="Q115" i="3"/>
  <c r="M115" i="3"/>
  <c r="AF114" i="3"/>
  <c r="AE114" i="3"/>
  <c r="Q114" i="3"/>
  <c r="S114" i="3" s="1"/>
  <c r="M114" i="3"/>
  <c r="AF113" i="3"/>
  <c r="AE113" i="3"/>
  <c r="Q113" i="3"/>
  <c r="S113" i="3" s="1"/>
  <c r="M113" i="3"/>
  <c r="AF112" i="3"/>
  <c r="AE112" i="3"/>
  <c r="Q112" i="3"/>
  <c r="S112" i="3" s="1"/>
  <c r="M112" i="3"/>
  <c r="AF111" i="3"/>
  <c r="AE111" i="3"/>
  <c r="Q111" i="3"/>
  <c r="S111" i="3" s="1"/>
  <c r="M111" i="3"/>
  <c r="AF110" i="3"/>
  <c r="AE110" i="3"/>
  <c r="Q110" i="3"/>
  <c r="S110" i="3" s="1"/>
  <c r="M110" i="3"/>
  <c r="AF109" i="3"/>
  <c r="AE109" i="3"/>
  <c r="Q109" i="3"/>
  <c r="S109" i="3" s="1"/>
  <c r="M109" i="3"/>
  <c r="AF108" i="3"/>
  <c r="AE108" i="3"/>
  <c r="Q108" i="3"/>
  <c r="S108" i="3" s="1"/>
  <c r="M108" i="3"/>
  <c r="AF107" i="3"/>
  <c r="AE107" i="3"/>
  <c r="S107" i="3"/>
  <c r="Q107" i="3"/>
  <c r="M107" i="3"/>
  <c r="AF106" i="3"/>
  <c r="AE106" i="3"/>
  <c r="S106" i="3"/>
  <c r="Q106" i="3"/>
  <c r="M106" i="3"/>
  <c r="AF105" i="3"/>
  <c r="AE105" i="3"/>
  <c r="Q105" i="3"/>
  <c r="S105" i="3" s="1"/>
  <c r="M105" i="3"/>
  <c r="AF104" i="3"/>
  <c r="AE104" i="3"/>
  <c r="Q104" i="3"/>
  <c r="S104" i="3" s="1"/>
  <c r="M104" i="3"/>
  <c r="AF103" i="3"/>
  <c r="AE103" i="3"/>
  <c r="Q103" i="3"/>
  <c r="S103" i="3" s="1"/>
  <c r="M103" i="3"/>
  <c r="AF102" i="3"/>
  <c r="AE102" i="3"/>
  <c r="Q102" i="3"/>
  <c r="S102" i="3" s="1"/>
  <c r="M102" i="3"/>
  <c r="AF101" i="3"/>
  <c r="AE101" i="3"/>
  <c r="Q101" i="3"/>
  <c r="S101" i="3" s="1"/>
  <c r="M101" i="3"/>
  <c r="AF100" i="3"/>
  <c r="AE100" i="3"/>
  <c r="Q100" i="3"/>
  <c r="S100" i="3" s="1"/>
  <c r="M100" i="3"/>
  <c r="AF99" i="3"/>
  <c r="AE99" i="3"/>
  <c r="Q99" i="3"/>
  <c r="S99" i="3" s="1"/>
  <c r="M99" i="3"/>
  <c r="AF98" i="3"/>
  <c r="AE98" i="3"/>
  <c r="S98" i="3"/>
  <c r="Q98" i="3"/>
  <c r="M98" i="3"/>
  <c r="AF97" i="3"/>
  <c r="AE97" i="3"/>
  <c r="Q97" i="3"/>
  <c r="S97" i="3" s="1"/>
  <c r="M97" i="3"/>
  <c r="AF96" i="3"/>
  <c r="AE96" i="3"/>
  <c r="Q96" i="3"/>
  <c r="S96" i="3" s="1"/>
  <c r="M96" i="3"/>
  <c r="AF95" i="3"/>
  <c r="AE95" i="3"/>
  <c r="Q95" i="3"/>
  <c r="S95" i="3" s="1"/>
  <c r="M95" i="3"/>
  <c r="AF94" i="3"/>
  <c r="AE94" i="3"/>
  <c r="Q94" i="3"/>
  <c r="S94" i="3" s="1"/>
  <c r="M94" i="3"/>
  <c r="AF93" i="3"/>
  <c r="AE93" i="3"/>
  <c r="Q93" i="3"/>
  <c r="S93" i="3" s="1"/>
  <c r="M93" i="3"/>
  <c r="AF92" i="3"/>
  <c r="AE92" i="3"/>
  <c r="S92" i="3"/>
  <c r="Q92" i="3"/>
  <c r="M92" i="3"/>
  <c r="AF91" i="3"/>
  <c r="AE91" i="3"/>
  <c r="Q91" i="3"/>
  <c r="S91" i="3" s="1"/>
  <c r="M91" i="3"/>
  <c r="AF90" i="3"/>
  <c r="AE90" i="3"/>
  <c r="Q90" i="3"/>
  <c r="S90" i="3" s="1"/>
  <c r="M90" i="3"/>
  <c r="AF89" i="3"/>
  <c r="AE89" i="3"/>
  <c r="Q89" i="3"/>
  <c r="S89" i="3" s="1"/>
  <c r="M89" i="3"/>
  <c r="AF88" i="3"/>
  <c r="AE88" i="3"/>
  <c r="Q88" i="3"/>
  <c r="S88" i="3" s="1"/>
  <c r="M88" i="3"/>
  <c r="AF87" i="3"/>
  <c r="AE87" i="3"/>
  <c r="Q87" i="3"/>
  <c r="S87" i="3" s="1"/>
  <c r="M87" i="3"/>
  <c r="AF86" i="3"/>
  <c r="AE86" i="3"/>
  <c r="Q86" i="3"/>
  <c r="S86" i="3" s="1"/>
  <c r="M86" i="3"/>
  <c r="AF85" i="3"/>
  <c r="AE85" i="3"/>
  <c r="Q85" i="3"/>
  <c r="S85" i="3" s="1"/>
  <c r="M85" i="3"/>
  <c r="AF84" i="3"/>
  <c r="AE84" i="3"/>
  <c r="Q84" i="3"/>
  <c r="S84" i="3" s="1"/>
  <c r="M84" i="3"/>
  <c r="AF83" i="3"/>
  <c r="AE83" i="3"/>
  <c r="S83" i="3"/>
  <c r="Q83" i="3"/>
  <c r="M83" i="3"/>
  <c r="AF82" i="3"/>
  <c r="AE82" i="3"/>
  <c r="Q82" i="3"/>
  <c r="S82" i="3" s="1"/>
  <c r="M82" i="3"/>
  <c r="AF81" i="3"/>
  <c r="AE81" i="3"/>
  <c r="Q81" i="3"/>
  <c r="S81" i="3" s="1"/>
  <c r="M81" i="3"/>
  <c r="AF80" i="3"/>
  <c r="AE80" i="3"/>
  <c r="Q80" i="3"/>
  <c r="S80" i="3" s="1"/>
  <c r="M80" i="3"/>
  <c r="AF79" i="3"/>
  <c r="AE79" i="3"/>
  <c r="Q79" i="3"/>
  <c r="S79" i="3" s="1"/>
  <c r="M79" i="3"/>
  <c r="AF78" i="3"/>
  <c r="AE78" i="3"/>
  <c r="Q78" i="3"/>
  <c r="S78" i="3" s="1"/>
  <c r="M78" i="3"/>
  <c r="AF77" i="3"/>
  <c r="AE77" i="3"/>
  <c r="Q77" i="3"/>
  <c r="S77" i="3" s="1"/>
  <c r="M77" i="3"/>
  <c r="AF76" i="3"/>
  <c r="AE76" i="3"/>
  <c r="S76" i="3"/>
  <c r="Q76" i="3"/>
  <c r="M76" i="3"/>
  <c r="AF75" i="3"/>
  <c r="AE75" i="3"/>
  <c r="Q75" i="3"/>
  <c r="S75" i="3" s="1"/>
  <c r="M75" i="3"/>
  <c r="AF74" i="3"/>
  <c r="AE74" i="3"/>
  <c r="S74" i="3"/>
  <c r="Q74" i="3"/>
  <c r="M74" i="3"/>
  <c r="AF73" i="3"/>
  <c r="AE73" i="3"/>
  <c r="Q73" i="3"/>
  <c r="S73" i="3" s="1"/>
  <c r="M73" i="3"/>
  <c r="AF72" i="3"/>
  <c r="AE72" i="3"/>
  <c r="Q72" i="3"/>
  <c r="S72" i="3" s="1"/>
  <c r="M72" i="3"/>
  <c r="AF71" i="3"/>
  <c r="AE71" i="3"/>
  <c r="Q71" i="3"/>
  <c r="S71" i="3" s="1"/>
  <c r="M71" i="3"/>
  <c r="AF70" i="3"/>
  <c r="AE70" i="3"/>
  <c r="Q70" i="3"/>
  <c r="S70" i="3" s="1"/>
  <c r="M70" i="3"/>
  <c r="AF69" i="3"/>
  <c r="AE69" i="3"/>
  <c r="Q69" i="3"/>
  <c r="S69" i="3" s="1"/>
  <c r="M69" i="3"/>
  <c r="AF68" i="3"/>
  <c r="AE68" i="3"/>
  <c r="Q68" i="3"/>
  <c r="S68" i="3" s="1"/>
  <c r="M68" i="3"/>
  <c r="AF67" i="3"/>
  <c r="AE67" i="3"/>
  <c r="S67" i="3"/>
  <c r="Q67" i="3"/>
  <c r="M67" i="3"/>
  <c r="AF66" i="3"/>
  <c r="AE66" i="3"/>
  <c r="Q66" i="3"/>
  <c r="S66" i="3" s="1"/>
  <c r="M66" i="3"/>
  <c r="AF65" i="3"/>
  <c r="AE65" i="3"/>
  <c r="Q65" i="3"/>
  <c r="S65" i="3" s="1"/>
  <c r="M65" i="3"/>
  <c r="AF64" i="3"/>
  <c r="AE64" i="3"/>
  <c r="Q64" i="3"/>
  <c r="S64" i="3" s="1"/>
  <c r="M64" i="3"/>
  <c r="AF63" i="3"/>
  <c r="AE63" i="3"/>
  <c r="Q63" i="3"/>
  <c r="S63" i="3" s="1"/>
  <c r="M63" i="3"/>
  <c r="AF62" i="3"/>
  <c r="AE62" i="3"/>
  <c r="Q62" i="3"/>
  <c r="S62" i="3" s="1"/>
  <c r="M62" i="3"/>
  <c r="AF61" i="3"/>
  <c r="AE61" i="3"/>
  <c r="Q61" i="3"/>
  <c r="S61" i="3" s="1"/>
  <c r="M61" i="3"/>
  <c r="AF60" i="3"/>
  <c r="AE60" i="3"/>
  <c r="S60" i="3"/>
  <c r="Q60" i="3"/>
  <c r="M60" i="3"/>
  <c r="AF59" i="3"/>
  <c r="AE59" i="3"/>
  <c r="Q59" i="3"/>
  <c r="S59" i="3" s="1"/>
  <c r="M59" i="3"/>
  <c r="AF58" i="3"/>
  <c r="AE58" i="3"/>
  <c r="S58" i="3"/>
  <c r="Q58" i="3"/>
  <c r="M58" i="3"/>
  <c r="AF57" i="3"/>
  <c r="AE57" i="3"/>
  <c r="Q57" i="3"/>
  <c r="S57" i="3" s="1"/>
  <c r="M57" i="3"/>
  <c r="AF56" i="3"/>
  <c r="AE56" i="3"/>
  <c r="Q56" i="3"/>
  <c r="S56" i="3" s="1"/>
  <c r="M56" i="3"/>
  <c r="AF55" i="3"/>
  <c r="AE55" i="3"/>
  <c r="Q55" i="3"/>
  <c r="S55" i="3" s="1"/>
  <c r="M55" i="3"/>
  <c r="AF54" i="3"/>
  <c r="AE54" i="3"/>
  <c r="Q54" i="3"/>
  <c r="S54" i="3" s="1"/>
  <c r="M54" i="3"/>
  <c r="AF53" i="3"/>
  <c r="AE53" i="3"/>
  <c r="Q53" i="3"/>
  <c r="S53" i="3" s="1"/>
  <c r="M53" i="3"/>
  <c r="AF52" i="3"/>
  <c r="AE52" i="3"/>
  <c r="S52" i="3"/>
  <c r="Q52" i="3"/>
  <c r="M52" i="3"/>
  <c r="AF51" i="3"/>
  <c r="AE51" i="3"/>
  <c r="S51" i="3"/>
  <c r="Q51" i="3"/>
  <c r="M51" i="3"/>
  <c r="AF50" i="3"/>
  <c r="AE50" i="3"/>
  <c r="Q50" i="3"/>
  <c r="S50" i="3" s="1"/>
  <c r="M50" i="3"/>
  <c r="AF49" i="3"/>
  <c r="AE49" i="3"/>
  <c r="Q49" i="3"/>
  <c r="S49" i="3" s="1"/>
  <c r="M49" i="3"/>
  <c r="AF48" i="3"/>
  <c r="AE48" i="3"/>
  <c r="Q48" i="3"/>
  <c r="S48" i="3" s="1"/>
  <c r="M48" i="3"/>
  <c r="AF47" i="3"/>
  <c r="AE47" i="3"/>
  <c r="Q47" i="3"/>
  <c r="S47" i="3" s="1"/>
  <c r="M47" i="3"/>
  <c r="AF46" i="3"/>
  <c r="AE46" i="3"/>
  <c r="Q46" i="3"/>
  <c r="S46" i="3" s="1"/>
  <c r="M46" i="3"/>
  <c r="AF45" i="3"/>
  <c r="AE45" i="3"/>
  <c r="Q45" i="3"/>
  <c r="S45" i="3" s="1"/>
  <c r="M45" i="3"/>
  <c r="AF44" i="3"/>
  <c r="AE44" i="3"/>
  <c r="S44" i="3"/>
  <c r="Q44" i="3"/>
  <c r="M44" i="3"/>
  <c r="AF43" i="3"/>
  <c r="AE43" i="3"/>
  <c r="S43" i="3"/>
  <c r="Q43" i="3"/>
  <c r="M43" i="3"/>
  <c r="AF42" i="3"/>
  <c r="AE42" i="3"/>
  <c r="S42" i="3"/>
  <c r="Q42" i="3"/>
  <c r="M42" i="3"/>
  <c r="AF41" i="3"/>
  <c r="AE41" i="3"/>
  <c r="Q41" i="3"/>
  <c r="S41" i="3" s="1"/>
  <c r="M41" i="3"/>
  <c r="AF40" i="3"/>
  <c r="AE40" i="3"/>
  <c r="Q40" i="3"/>
  <c r="S40" i="3" s="1"/>
  <c r="M40" i="3"/>
  <c r="AF39" i="3"/>
  <c r="AE39" i="3"/>
  <c r="Q39" i="3"/>
  <c r="S39" i="3" s="1"/>
  <c r="M39" i="3"/>
  <c r="AF38" i="3"/>
  <c r="AE38" i="3"/>
  <c r="Q38" i="3"/>
  <c r="S38" i="3" s="1"/>
  <c r="M38" i="3"/>
  <c r="AF37" i="3"/>
  <c r="AE37" i="3"/>
  <c r="Q37" i="3"/>
  <c r="S37" i="3" s="1"/>
  <c r="M37" i="3"/>
  <c r="AF36" i="3"/>
  <c r="AE36" i="3"/>
  <c r="Q36" i="3"/>
  <c r="S36" i="3" s="1"/>
  <c r="M36" i="3"/>
  <c r="AF35" i="3"/>
  <c r="AE35" i="3"/>
  <c r="S35" i="3"/>
  <c r="Q35" i="3"/>
  <c r="M35" i="3"/>
  <c r="AF34" i="3"/>
  <c r="AE34" i="3"/>
  <c r="S34" i="3"/>
  <c r="Q34" i="3"/>
  <c r="M34" i="3"/>
  <c r="AF33" i="3"/>
  <c r="AE33" i="3"/>
  <c r="Q33" i="3"/>
  <c r="S33" i="3" s="1"/>
  <c r="M33" i="3"/>
  <c r="AF32" i="3"/>
  <c r="AE32" i="3"/>
  <c r="Q32" i="3"/>
  <c r="S32" i="3" s="1"/>
  <c r="M32" i="3"/>
  <c r="AF31" i="3"/>
  <c r="AE31" i="3"/>
  <c r="Q31" i="3"/>
  <c r="S31" i="3" s="1"/>
  <c r="M31" i="3"/>
  <c r="AF30" i="3"/>
  <c r="AE30" i="3"/>
  <c r="Q30" i="3"/>
  <c r="S30" i="3" s="1"/>
  <c r="M30" i="3"/>
  <c r="AF29" i="3"/>
  <c r="AE29" i="3"/>
  <c r="Q29" i="3"/>
  <c r="S29" i="3" s="1"/>
  <c r="M29" i="3"/>
  <c r="AF28" i="3"/>
  <c r="AE28" i="3"/>
  <c r="Q28" i="3"/>
  <c r="S28" i="3" s="1"/>
  <c r="M28" i="3"/>
  <c r="AF27" i="3"/>
  <c r="AE27" i="3"/>
  <c r="S27" i="3"/>
  <c r="Q27" i="3"/>
  <c r="M27" i="3"/>
  <c r="AF26" i="3"/>
  <c r="AE26" i="3"/>
  <c r="Q26" i="3"/>
  <c r="S26" i="3" s="1"/>
  <c r="M26" i="3"/>
  <c r="AF25" i="3"/>
  <c r="AE25" i="3"/>
  <c r="Q25" i="3"/>
  <c r="S25" i="3" s="1"/>
  <c r="M25" i="3"/>
  <c r="AF24" i="3"/>
  <c r="AE24" i="3"/>
  <c r="Q24" i="3"/>
  <c r="S24" i="3" s="1"/>
  <c r="M24" i="3"/>
  <c r="AF23" i="3"/>
  <c r="AE23" i="3"/>
  <c r="Q23" i="3"/>
  <c r="S23" i="3" s="1"/>
  <c r="M23" i="3"/>
  <c r="AF22" i="3"/>
  <c r="AE22" i="3"/>
  <c r="S22" i="3"/>
  <c r="Q22" i="3"/>
  <c r="M22" i="3"/>
  <c r="AF21" i="3"/>
  <c r="AE21" i="3"/>
  <c r="Q21" i="3"/>
  <c r="S21" i="3" s="1"/>
  <c r="M21" i="3"/>
  <c r="AF20" i="3"/>
  <c r="AE20" i="3"/>
  <c r="Q20" i="3"/>
  <c r="S20" i="3" s="1"/>
  <c r="M20" i="3"/>
  <c r="AF19" i="3"/>
  <c r="AE19" i="3"/>
  <c r="S19" i="3"/>
  <c r="Q19" i="3"/>
  <c r="M19" i="3"/>
  <c r="AF18" i="3"/>
  <c r="AE18" i="3"/>
  <c r="Q18" i="3"/>
  <c r="S18" i="3" s="1"/>
  <c r="M18" i="3"/>
  <c r="AF17" i="3"/>
  <c r="AE17" i="3"/>
  <c r="Q17" i="3"/>
  <c r="S17" i="3" s="1"/>
  <c r="M17" i="3"/>
  <c r="AF16" i="3"/>
  <c r="AE16" i="3"/>
  <c r="Q16" i="3"/>
  <c r="S16" i="3" s="1"/>
  <c r="M16" i="3"/>
  <c r="AF15" i="3"/>
  <c r="AE15" i="3"/>
  <c r="Q15" i="3"/>
  <c r="S15" i="3" s="1"/>
  <c r="M15" i="3"/>
  <c r="AF14" i="3"/>
  <c r="AE14" i="3"/>
  <c r="Q14" i="3"/>
  <c r="S14" i="3" s="1"/>
  <c r="M14" i="3"/>
  <c r="AF13" i="3"/>
  <c r="AE13" i="3"/>
  <c r="Q13" i="3"/>
  <c r="S13" i="3" s="1"/>
  <c r="M13" i="3"/>
  <c r="AF12" i="3"/>
  <c r="AE12" i="3"/>
  <c r="Q12" i="3"/>
  <c r="S12" i="3" s="1"/>
  <c r="M12" i="3"/>
  <c r="AF11" i="3"/>
  <c r="AE11" i="3"/>
  <c r="S11" i="3"/>
  <c r="Q11" i="3"/>
  <c r="M11" i="3"/>
  <c r="AF10" i="3"/>
  <c r="AE10" i="3"/>
  <c r="Q10" i="3"/>
  <c r="S10" i="3" s="1"/>
  <c r="M10" i="3"/>
  <c r="AF9" i="3"/>
  <c r="AE9" i="3"/>
  <c r="Q9" i="3"/>
  <c r="S9" i="3" s="1"/>
  <c r="M9" i="3"/>
  <c r="AF8" i="3"/>
  <c r="AE8" i="3"/>
  <c r="Q8" i="3"/>
  <c r="S8" i="3" s="1"/>
  <c r="M8" i="3"/>
  <c r="AF7" i="3"/>
  <c r="AE7" i="3"/>
  <c r="Q7" i="3"/>
  <c r="S7" i="3" s="1"/>
  <c r="M7" i="3"/>
  <c r="AA206" i="2"/>
  <c r="Z206" i="2"/>
  <c r="M206" i="2"/>
  <c r="AA205" i="2"/>
  <c r="Z205" i="2"/>
  <c r="M205" i="2"/>
  <c r="AA204" i="2"/>
  <c r="Z204" i="2"/>
  <c r="M204" i="2"/>
  <c r="AA203" i="2"/>
  <c r="Z203" i="2"/>
  <c r="M203" i="2"/>
  <c r="AA202" i="2"/>
  <c r="Z202" i="2"/>
  <c r="M202" i="2"/>
  <c r="AA201" i="2"/>
  <c r="Z201" i="2"/>
  <c r="M201" i="2"/>
  <c r="AA200" i="2"/>
  <c r="Z200" i="2"/>
  <c r="M200" i="2"/>
  <c r="AA199" i="2"/>
  <c r="Z199" i="2"/>
  <c r="M199" i="2"/>
  <c r="AA198" i="2"/>
  <c r="Z198" i="2"/>
  <c r="M198" i="2"/>
  <c r="AA197" i="2"/>
  <c r="Z197" i="2"/>
  <c r="M197" i="2"/>
  <c r="AA196" i="2"/>
  <c r="Z196" i="2"/>
  <c r="M196" i="2"/>
  <c r="AA195" i="2"/>
  <c r="Z195" i="2"/>
  <c r="M195" i="2"/>
  <c r="AA194" i="2"/>
  <c r="Z194" i="2"/>
  <c r="M194" i="2"/>
  <c r="AA193" i="2"/>
  <c r="Z193" i="2"/>
  <c r="M193" i="2"/>
  <c r="AA192" i="2"/>
  <c r="Z192" i="2"/>
  <c r="M192" i="2"/>
  <c r="AA191" i="2"/>
  <c r="Z191" i="2"/>
  <c r="M191" i="2"/>
  <c r="AA190" i="2"/>
  <c r="Z190" i="2"/>
  <c r="M190" i="2"/>
  <c r="AA189" i="2"/>
  <c r="Z189" i="2"/>
  <c r="M189" i="2"/>
  <c r="AA188" i="2"/>
  <c r="Z188" i="2"/>
  <c r="M188" i="2"/>
  <c r="AA187" i="2"/>
  <c r="Z187" i="2"/>
  <c r="M187" i="2"/>
  <c r="AA186" i="2"/>
  <c r="Z186" i="2"/>
  <c r="M186" i="2"/>
  <c r="AA185" i="2"/>
  <c r="Z185" i="2"/>
  <c r="M185" i="2"/>
  <c r="AA184" i="2"/>
  <c r="Z184" i="2"/>
  <c r="M184" i="2"/>
  <c r="AA183" i="2"/>
  <c r="Z183" i="2"/>
  <c r="M183" i="2"/>
  <c r="AA182" i="2"/>
  <c r="Z182" i="2"/>
  <c r="M182" i="2"/>
  <c r="AA181" i="2"/>
  <c r="Z181" i="2"/>
  <c r="M181" i="2"/>
  <c r="AA180" i="2"/>
  <c r="Z180" i="2"/>
  <c r="M180" i="2"/>
  <c r="AA179" i="2"/>
  <c r="Z179" i="2"/>
  <c r="M179" i="2"/>
  <c r="AA178" i="2"/>
  <c r="Z178" i="2"/>
  <c r="M178" i="2"/>
  <c r="AA177" i="2"/>
  <c r="Z177" i="2"/>
  <c r="M177" i="2"/>
  <c r="AA176" i="2"/>
  <c r="Z176" i="2"/>
  <c r="M176" i="2"/>
  <c r="AA175" i="2"/>
  <c r="Z175" i="2"/>
  <c r="M175" i="2"/>
  <c r="AA174" i="2"/>
  <c r="Z174" i="2"/>
  <c r="M174" i="2"/>
  <c r="AA173" i="2"/>
  <c r="Z173" i="2"/>
  <c r="M173" i="2"/>
  <c r="AA172" i="2"/>
  <c r="Z172" i="2"/>
  <c r="M172" i="2"/>
  <c r="AA171" i="2"/>
  <c r="Z171" i="2"/>
  <c r="M171" i="2"/>
  <c r="AA170" i="2"/>
  <c r="Z170" i="2"/>
  <c r="M170" i="2"/>
  <c r="AA169" i="2"/>
  <c r="Z169" i="2"/>
  <c r="M169" i="2"/>
  <c r="AA168" i="2"/>
  <c r="Z168" i="2"/>
  <c r="M168" i="2"/>
  <c r="AA167" i="2"/>
  <c r="Z167" i="2"/>
  <c r="M167" i="2"/>
  <c r="AA166" i="2"/>
  <c r="Z166" i="2"/>
  <c r="M166" i="2"/>
  <c r="AA165" i="2"/>
  <c r="Z165" i="2"/>
  <c r="M165" i="2"/>
  <c r="AA164" i="2"/>
  <c r="Z164" i="2"/>
  <c r="M164" i="2"/>
  <c r="AA163" i="2"/>
  <c r="Z163" i="2"/>
  <c r="M163" i="2"/>
  <c r="AA162" i="2"/>
  <c r="Z162" i="2"/>
  <c r="M162" i="2"/>
  <c r="AA161" i="2"/>
  <c r="Z161" i="2"/>
  <c r="M161" i="2"/>
  <c r="AA160" i="2"/>
  <c r="Z160" i="2"/>
  <c r="M160" i="2"/>
  <c r="AA159" i="2"/>
  <c r="Z159" i="2"/>
  <c r="M159" i="2"/>
  <c r="AA158" i="2"/>
  <c r="Z158" i="2"/>
  <c r="M158" i="2"/>
  <c r="AA157" i="2"/>
  <c r="Z157" i="2"/>
  <c r="M157" i="2"/>
  <c r="AA156" i="2"/>
  <c r="Z156" i="2"/>
  <c r="M156" i="2"/>
  <c r="AA155" i="2"/>
  <c r="Z155" i="2"/>
  <c r="M155" i="2"/>
  <c r="AA154" i="2"/>
  <c r="Z154" i="2"/>
  <c r="M154" i="2"/>
  <c r="AA153" i="2"/>
  <c r="Z153" i="2"/>
  <c r="M153" i="2"/>
  <c r="AA152" i="2"/>
  <c r="Z152" i="2"/>
  <c r="M152" i="2"/>
  <c r="AA151" i="2"/>
  <c r="Z151" i="2"/>
  <c r="M151" i="2"/>
  <c r="AA150" i="2"/>
  <c r="Z150" i="2"/>
  <c r="M150" i="2"/>
  <c r="AA149" i="2"/>
  <c r="Z149" i="2"/>
  <c r="M149" i="2"/>
  <c r="AA148" i="2"/>
  <c r="Z148" i="2"/>
  <c r="M148" i="2"/>
  <c r="AA147" i="2"/>
  <c r="Z147" i="2"/>
  <c r="M147" i="2"/>
  <c r="AA146" i="2"/>
  <c r="Z146" i="2"/>
  <c r="M146" i="2"/>
  <c r="AA145" i="2"/>
  <c r="Z145" i="2"/>
  <c r="M145" i="2"/>
  <c r="AA144" i="2"/>
  <c r="Z144" i="2"/>
  <c r="M144" i="2"/>
  <c r="AA143" i="2"/>
  <c r="Z143" i="2"/>
  <c r="M143" i="2"/>
  <c r="AA142" i="2"/>
  <c r="Z142" i="2"/>
  <c r="M142" i="2"/>
  <c r="AA141" i="2"/>
  <c r="Z141" i="2"/>
  <c r="M141" i="2"/>
  <c r="AA140" i="2"/>
  <c r="Z140" i="2"/>
  <c r="M140" i="2"/>
  <c r="AA139" i="2"/>
  <c r="Z139" i="2"/>
  <c r="M139" i="2"/>
  <c r="AA138" i="2"/>
  <c r="Z138" i="2"/>
  <c r="M138" i="2"/>
  <c r="AA137" i="2"/>
  <c r="Z137" i="2"/>
  <c r="M137" i="2"/>
  <c r="AA136" i="2"/>
  <c r="Z136" i="2"/>
  <c r="M136" i="2"/>
  <c r="AA135" i="2"/>
  <c r="Z135" i="2"/>
  <c r="M135" i="2"/>
  <c r="AA134" i="2"/>
  <c r="Z134" i="2"/>
  <c r="M134" i="2"/>
  <c r="AA133" i="2"/>
  <c r="Z133" i="2"/>
  <c r="M133" i="2"/>
  <c r="AA132" i="2"/>
  <c r="Z132" i="2"/>
  <c r="M132" i="2"/>
  <c r="AA131" i="2"/>
  <c r="Z131" i="2"/>
  <c r="M131" i="2"/>
  <c r="AA130" i="2"/>
  <c r="Z130" i="2"/>
  <c r="M130" i="2"/>
  <c r="AA129" i="2"/>
  <c r="Z129" i="2"/>
  <c r="M129" i="2"/>
  <c r="AA128" i="2"/>
  <c r="Z128" i="2"/>
  <c r="M128" i="2"/>
  <c r="AA127" i="2"/>
  <c r="Z127" i="2"/>
  <c r="M127" i="2"/>
  <c r="AA126" i="2"/>
  <c r="Z126" i="2"/>
  <c r="M126" i="2"/>
  <c r="AA125" i="2"/>
  <c r="Z125" i="2"/>
  <c r="M125" i="2"/>
  <c r="AA124" i="2"/>
  <c r="Z124" i="2"/>
  <c r="M124" i="2"/>
  <c r="AA123" i="2"/>
  <c r="Z123" i="2"/>
  <c r="M123" i="2"/>
  <c r="AA122" i="2"/>
  <c r="Z122" i="2"/>
  <c r="M122" i="2"/>
  <c r="AA121" i="2"/>
  <c r="Z121" i="2"/>
  <c r="M121" i="2"/>
  <c r="AA120" i="2"/>
  <c r="Z120" i="2"/>
  <c r="M120" i="2"/>
  <c r="AA119" i="2"/>
  <c r="Z119" i="2"/>
  <c r="M119" i="2"/>
  <c r="AA118" i="2"/>
  <c r="Z118" i="2"/>
  <c r="M118" i="2"/>
  <c r="AA117" i="2"/>
  <c r="Z117" i="2"/>
  <c r="M117" i="2"/>
  <c r="AA116" i="2"/>
  <c r="Z116" i="2"/>
  <c r="M116" i="2"/>
  <c r="AA115" i="2"/>
  <c r="Z115" i="2"/>
  <c r="M115" i="2"/>
  <c r="AA114" i="2"/>
  <c r="Z114" i="2"/>
  <c r="M114" i="2"/>
  <c r="AA113" i="2"/>
  <c r="Z113" i="2"/>
  <c r="M113" i="2"/>
  <c r="AA112" i="2"/>
  <c r="Z112" i="2"/>
  <c r="M112" i="2"/>
  <c r="AA111" i="2"/>
  <c r="Z111" i="2"/>
  <c r="M111" i="2"/>
  <c r="AA110" i="2"/>
  <c r="Z110" i="2"/>
  <c r="M110" i="2"/>
  <c r="AA109" i="2"/>
  <c r="Z109" i="2"/>
  <c r="M109" i="2"/>
  <c r="AA108" i="2"/>
  <c r="Z108" i="2"/>
  <c r="M108" i="2"/>
  <c r="AA107" i="2"/>
  <c r="Z107" i="2"/>
  <c r="M107" i="2"/>
  <c r="AA106" i="2"/>
  <c r="Z106" i="2"/>
  <c r="M106" i="2"/>
  <c r="AA105" i="2"/>
  <c r="Z105" i="2"/>
  <c r="M105" i="2"/>
  <c r="AA104" i="2"/>
  <c r="Z104" i="2"/>
  <c r="M104" i="2"/>
  <c r="AA103" i="2"/>
  <c r="Z103" i="2"/>
  <c r="M103" i="2"/>
  <c r="AA102" i="2"/>
  <c r="Z102" i="2"/>
  <c r="M102" i="2"/>
  <c r="AA101" i="2"/>
  <c r="Z101" i="2"/>
  <c r="M101" i="2"/>
  <c r="AA100" i="2"/>
  <c r="Z100" i="2"/>
  <c r="M100" i="2"/>
  <c r="AA99" i="2"/>
  <c r="Z99" i="2"/>
  <c r="M99" i="2"/>
  <c r="AA98" i="2"/>
  <c r="Z98" i="2"/>
  <c r="M98" i="2"/>
  <c r="AA97" i="2"/>
  <c r="Z97" i="2"/>
  <c r="M97" i="2"/>
  <c r="AA96" i="2"/>
  <c r="Z96" i="2"/>
  <c r="M96" i="2"/>
  <c r="AA95" i="2"/>
  <c r="Z95" i="2"/>
  <c r="M95" i="2"/>
  <c r="AA94" i="2"/>
  <c r="Z94" i="2"/>
  <c r="M94" i="2"/>
  <c r="AA93" i="2"/>
  <c r="Z93" i="2"/>
  <c r="M93" i="2"/>
  <c r="AA92" i="2"/>
  <c r="Z92" i="2"/>
  <c r="M92" i="2"/>
  <c r="AA91" i="2"/>
  <c r="Z91" i="2"/>
  <c r="M91" i="2"/>
  <c r="AA90" i="2"/>
  <c r="Z90" i="2"/>
  <c r="M90" i="2"/>
  <c r="AA89" i="2"/>
  <c r="Z89" i="2"/>
  <c r="M89" i="2"/>
  <c r="AA88" i="2"/>
  <c r="Z88" i="2"/>
  <c r="M88" i="2"/>
  <c r="AA87" i="2"/>
  <c r="Z87" i="2"/>
  <c r="M87" i="2"/>
  <c r="AA86" i="2"/>
  <c r="Z86" i="2"/>
  <c r="M86" i="2"/>
  <c r="AA85" i="2"/>
  <c r="Z85" i="2"/>
  <c r="M85" i="2"/>
  <c r="AA84" i="2"/>
  <c r="Z84" i="2"/>
  <c r="M84" i="2"/>
  <c r="AA83" i="2"/>
  <c r="Z83" i="2"/>
  <c r="M83" i="2"/>
  <c r="AA82" i="2"/>
  <c r="Z82" i="2"/>
  <c r="M82" i="2"/>
  <c r="AA81" i="2"/>
  <c r="Z81" i="2"/>
  <c r="M81" i="2"/>
  <c r="AA80" i="2"/>
  <c r="Z80" i="2"/>
  <c r="M80" i="2"/>
  <c r="AA79" i="2"/>
  <c r="Z79" i="2"/>
  <c r="M79" i="2"/>
  <c r="AA78" i="2"/>
  <c r="Z78" i="2"/>
  <c r="M78" i="2"/>
  <c r="AA77" i="2"/>
  <c r="Z77" i="2"/>
  <c r="M77" i="2"/>
  <c r="AA76" i="2"/>
  <c r="Z76" i="2"/>
  <c r="M76" i="2"/>
  <c r="AA75" i="2"/>
  <c r="Z75" i="2"/>
  <c r="M75" i="2"/>
  <c r="AA74" i="2"/>
  <c r="Z74" i="2"/>
  <c r="M74" i="2"/>
  <c r="AA73" i="2"/>
  <c r="Z73" i="2"/>
  <c r="M73" i="2"/>
  <c r="AA72" i="2"/>
  <c r="Z72" i="2"/>
  <c r="M72" i="2"/>
  <c r="AA71" i="2"/>
  <c r="Z71" i="2"/>
  <c r="M71" i="2"/>
  <c r="AA70" i="2"/>
  <c r="Z70" i="2"/>
  <c r="M70" i="2"/>
  <c r="AA69" i="2"/>
  <c r="Z69" i="2"/>
  <c r="M69" i="2"/>
  <c r="AA68" i="2"/>
  <c r="Z68" i="2"/>
  <c r="M68" i="2"/>
  <c r="AA67" i="2"/>
  <c r="Z67" i="2"/>
  <c r="M67" i="2"/>
  <c r="AA66" i="2"/>
  <c r="Z66" i="2"/>
  <c r="M66" i="2"/>
  <c r="AA65" i="2"/>
  <c r="Z65" i="2"/>
  <c r="M65" i="2"/>
  <c r="AA64" i="2"/>
  <c r="Z64" i="2"/>
  <c r="M64" i="2"/>
  <c r="AA63" i="2"/>
  <c r="Z63" i="2"/>
  <c r="M63" i="2"/>
  <c r="AA62" i="2"/>
  <c r="Z62" i="2"/>
  <c r="M62" i="2"/>
  <c r="AA61" i="2"/>
  <c r="Z61" i="2"/>
  <c r="M61" i="2"/>
  <c r="AA60" i="2"/>
  <c r="Z60" i="2"/>
  <c r="M60" i="2"/>
  <c r="AA59" i="2"/>
  <c r="Z59" i="2"/>
  <c r="M59" i="2"/>
  <c r="AA58" i="2"/>
  <c r="Z58" i="2"/>
  <c r="M58" i="2"/>
  <c r="AA57" i="2"/>
  <c r="Z57" i="2"/>
  <c r="M57" i="2"/>
  <c r="AA56" i="2"/>
  <c r="Z56" i="2"/>
  <c r="M56" i="2"/>
  <c r="AA55" i="2"/>
  <c r="Z55" i="2"/>
  <c r="M55" i="2"/>
  <c r="AA54" i="2"/>
  <c r="Z54" i="2"/>
  <c r="M54" i="2"/>
  <c r="AA53" i="2"/>
  <c r="Z53" i="2"/>
  <c r="M53" i="2"/>
  <c r="AA52" i="2"/>
  <c r="Z52" i="2"/>
  <c r="M52" i="2"/>
  <c r="AA51" i="2"/>
  <c r="Z51" i="2"/>
  <c r="M51" i="2"/>
  <c r="AA50" i="2"/>
  <c r="Z50" i="2"/>
  <c r="M50" i="2"/>
  <c r="AA49" i="2"/>
  <c r="Z49" i="2"/>
  <c r="M49" i="2"/>
  <c r="AA48" i="2"/>
  <c r="Z48" i="2"/>
  <c r="M48" i="2"/>
  <c r="AA47" i="2"/>
  <c r="Z47" i="2"/>
  <c r="M47" i="2"/>
  <c r="AA46" i="2"/>
  <c r="Z46" i="2"/>
  <c r="M46" i="2"/>
  <c r="AA45" i="2"/>
  <c r="Z45" i="2"/>
  <c r="M45" i="2"/>
  <c r="AA44" i="2"/>
  <c r="Z44" i="2"/>
  <c r="M44" i="2"/>
  <c r="AA43" i="2"/>
  <c r="Z43" i="2"/>
  <c r="M43" i="2"/>
  <c r="AA42" i="2"/>
  <c r="Z42" i="2"/>
  <c r="M42" i="2"/>
  <c r="AA41" i="2"/>
  <c r="Z41" i="2"/>
  <c r="M41" i="2"/>
  <c r="AA40" i="2"/>
  <c r="Z40" i="2"/>
  <c r="M40" i="2"/>
  <c r="AA39" i="2"/>
  <c r="Z39" i="2"/>
  <c r="M39" i="2"/>
  <c r="AA38" i="2"/>
  <c r="Z38" i="2"/>
  <c r="M38" i="2"/>
  <c r="AA37" i="2"/>
  <c r="Z37" i="2"/>
  <c r="M37" i="2"/>
  <c r="AA36" i="2"/>
  <c r="Z36" i="2"/>
  <c r="M36" i="2"/>
  <c r="AA35" i="2"/>
  <c r="Z35" i="2"/>
  <c r="M35" i="2"/>
  <c r="AA34" i="2"/>
  <c r="Z34" i="2"/>
  <c r="M34" i="2"/>
  <c r="AA33" i="2"/>
  <c r="Z33" i="2"/>
  <c r="M33" i="2"/>
  <c r="AA32" i="2"/>
  <c r="Z32" i="2"/>
  <c r="M32" i="2"/>
  <c r="AA31" i="2"/>
  <c r="Z31" i="2"/>
  <c r="M31" i="2"/>
  <c r="AA30" i="2"/>
  <c r="Z30" i="2"/>
  <c r="M30" i="2"/>
  <c r="AA29" i="2"/>
  <c r="Z29" i="2"/>
  <c r="M29" i="2"/>
  <c r="AA28" i="2"/>
  <c r="Z28" i="2"/>
  <c r="M28" i="2"/>
  <c r="AA27" i="2"/>
  <c r="Z27" i="2"/>
  <c r="M27" i="2"/>
  <c r="AA26" i="2"/>
  <c r="Z26" i="2"/>
  <c r="M26" i="2"/>
  <c r="AA25" i="2"/>
  <c r="Z25" i="2"/>
  <c r="M25" i="2"/>
  <c r="AA24" i="2"/>
  <c r="Z24" i="2"/>
  <c r="M24" i="2"/>
  <c r="AA23" i="2"/>
  <c r="Z23" i="2"/>
  <c r="M23" i="2"/>
  <c r="AA22" i="2"/>
  <c r="Z22" i="2"/>
  <c r="M22" i="2"/>
  <c r="AA21" i="2"/>
  <c r="Z21" i="2"/>
  <c r="M21" i="2"/>
  <c r="AA20" i="2"/>
  <c r="Z20" i="2"/>
  <c r="M20" i="2"/>
  <c r="AA19" i="2"/>
  <c r="Z19" i="2"/>
  <c r="M19" i="2"/>
  <c r="AA18" i="2"/>
  <c r="Z18" i="2"/>
  <c r="M18" i="2"/>
  <c r="AA17" i="2"/>
  <c r="Z17" i="2"/>
  <c r="M17" i="2"/>
  <c r="AA16" i="2"/>
  <c r="Z16" i="2"/>
  <c r="M16" i="2"/>
  <c r="AA15" i="2"/>
  <c r="Z15" i="2"/>
  <c r="M15" i="2"/>
  <c r="AA14" i="2"/>
  <c r="Z14" i="2"/>
  <c r="M14" i="2"/>
  <c r="AA13" i="2"/>
  <c r="Z13" i="2"/>
  <c r="M13" i="2"/>
  <c r="AA12" i="2"/>
  <c r="Z12" i="2"/>
  <c r="M12" i="2"/>
  <c r="AA11" i="2"/>
  <c r="Z11" i="2"/>
  <c r="M11" i="2"/>
  <c r="AA10" i="2"/>
  <c r="Z10" i="2"/>
  <c r="M10" i="2"/>
  <c r="AA9" i="2"/>
  <c r="Z9" i="2"/>
  <c r="M9" i="2"/>
  <c r="AA8" i="2"/>
  <c r="Z8" i="2"/>
  <c r="M8" i="2"/>
  <c r="AA7" i="2"/>
  <c r="Z7" i="2"/>
  <c r="M7" i="2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G13" i="1"/>
  <c r="G12" i="1"/>
  <c r="G11" i="1"/>
  <c r="B11" i="1"/>
  <c r="G10" i="1"/>
  <c r="B10" i="1"/>
  <c r="B12" i="1" s="1"/>
  <c r="G9" i="1"/>
  <c r="B9" i="1"/>
  <c r="G8" i="1"/>
  <c r="B8" i="1"/>
  <c r="B6" i="1" s="1"/>
  <c r="G7" i="1"/>
  <c r="B7" i="1"/>
  <c r="G6" i="1"/>
  <c r="E3" i="1"/>
  <c r="G20" i="1" s="1"/>
  <c r="F21" i="1" l="1"/>
  <c r="G23" i="1"/>
  <c r="F19" i="1"/>
  <c r="G21" i="1"/>
  <c r="B13" i="1"/>
  <c r="G19" i="1"/>
  <c r="G26" i="1"/>
  <c r="G24" i="1"/>
  <c r="A31" i="1"/>
  <c r="G22" i="1"/>
  <c r="F26" i="1"/>
  <c r="F24" i="1"/>
  <c r="F22" i="1"/>
  <c r="F20" i="1"/>
  <c r="F18" i="1"/>
  <c r="G18" i="1"/>
  <c r="F25" i="1"/>
  <c r="F23" i="1"/>
  <c r="G25" i="1"/>
  <c r="N31" i="1" l="1"/>
  <c r="C31" i="1"/>
  <c r="B31" i="1"/>
  <c r="O31" i="1" s="1"/>
  <c r="A32" i="1"/>
  <c r="A33" i="1" l="1"/>
  <c r="N32" i="1"/>
  <c r="C32" i="1"/>
  <c r="B32" i="1"/>
  <c r="O32" i="1" s="1"/>
  <c r="P31" i="1"/>
  <c r="D31" i="1"/>
  <c r="P32" i="1" l="1"/>
  <c r="D32" i="1"/>
  <c r="C33" i="1"/>
  <c r="B33" i="1"/>
  <c r="O33" i="1" s="1"/>
  <c r="A34" i="1"/>
  <c r="N33" i="1"/>
  <c r="B34" i="1" l="1"/>
  <c r="O34" i="1" s="1"/>
  <c r="A35" i="1"/>
  <c r="N34" i="1"/>
  <c r="C34" i="1"/>
  <c r="P33" i="1"/>
  <c r="D33" i="1"/>
  <c r="C35" i="1" l="1"/>
  <c r="A36" i="1"/>
  <c r="N35" i="1"/>
  <c r="B35" i="1"/>
  <c r="O35" i="1" s="1"/>
  <c r="D34" i="1"/>
  <c r="P34" i="1"/>
  <c r="B36" i="1" l="1"/>
  <c r="O36" i="1" s="1"/>
  <c r="C36" i="1"/>
  <c r="A37" i="1"/>
  <c r="N36" i="1"/>
  <c r="P35" i="1"/>
  <c r="D35" i="1"/>
  <c r="D36" i="1" l="1"/>
  <c r="P36" i="1"/>
  <c r="N37" i="1"/>
  <c r="C37" i="1"/>
  <c r="B37" i="1"/>
  <c r="O37" i="1" s="1"/>
  <c r="A38" i="1"/>
  <c r="A39" i="1" l="1"/>
  <c r="N38" i="1"/>
  <c r="C38" i="1"/>
  <c r="B38" i="1"/>
  <c r="O38" i="1" s="1"/>
  <c r="P37" i="1"/>
  <c r="D37" i="1"/>
  <c r="N39" i="1" l="1"/>
  <c r="C39" i="1"/>
  <c r="B39" i="1"/>
  <c r="O39" i="1" s="1"/>
  <c r="A40" i="1"/>
  <c r="D38" i="1"/>
  <c r="P38" i="1"/>
  <c r="A41" i="1" l="1"/>
  <c r="N40" i="1"/>
  <c r="C40" i="1"/>
  <c r="B40" i="1"/>
  <c r="O40" i="1" s="1"/>
  <c r="P39" i="1"/>
  <c r="D39" i="1"/>
  <c r="P40" i="1" l="1"/>
  <c r="D40" i="1"/>
  <c r="A42" i="1"/>
  <c r="N41" i="1"/>
  <c r="C41" i="1"/>
  <c r="B41" i="1"/>
  <c r="O41" i="1" s="1"/>
  <c r="P41" i="1" l="1"/>
  <c r="D41" i="1"/>
  <c r="B42" i="1"/>
  <c r="O42" i="1" s="1"/>
  <c r="C42" i="1"/>
  <c r="N42" i="1"/>
  <c r="D42" i="1" l="1"/>
  <c r="P42" i="1"/>
</calcChain>
</file>

<file path=xl/sharedStrings.xml><?xml version="1.0" encoding="utf-8"?>
<sst xmlns="http://schemas.openxmlformats.org/spreadsheetml/2006/main" count="257" uniqueCount="197">
  <si>
    <t>IT Cost, Subscription and Renewal Dashboard</t>
  </si>
  <si>
    <t>Report Month</t>
  </si>
  <si>
    <t>Fiscal Year Start</t>
  </si>
  <si>
    <t>Monthly IT Budget</t>
  </si>
  <si>
    <t>Cost overview</t>
  </si>
  <si>
    <t>Renewals and control exceptions</t>
  </si>
  <si>
    <t>Annual IT run-rate</t>
  </si>
  <si>
    <t>Active software applications</t>
  </si>
  <si>
    <t>Software support run-rate</t>
  </si>
  <si>
    <t>Active online subscriptions</t>
  </si>
  <si>
    <t>Online subscriptions run-rate</t>
  </si>
  <si>
    <t>Renewals due within 30 days</t>
  </si>
  <si>
    <t>AI subscriptions run-rate</t>
  </si>
  <si>
    <t>Renewals due in 31-60 days</t>
  </si>
  <si>
    <t>Current month actual spend</t>
  </si>
  <si>
    <t>Expired items</t>
  </si>
  <si>
    <t>Current month budget</t>
  </si>
  <si>
    <t>Low utilization subscriptions (&lt;50%)</t>
  </si>
  <si>
    <t>Current month variance</t>
  </si>
  <si>
    <t>Security review pending</t>
  </si>
  <si>
    <t>FYTD actual spend</t>
  </si>
  <si>
    <t>Auto-renew subscriptions</t>
  </si>
  <si>
    <t>Subscription cost by type</t>
  </si>
  <si>
    <t>Spend by department (FYTD)</t>
  </si>
  <si>
    <t>Subscription Type</t>
  </si>
  <si>
    <t>Active Tools</t>
  </si>
  <si>
    <t>Annualized Cost (INR)</t>
  </si>
  <si>
    <t>Department</t>
  </si>
  <si>
    <t>Transactions</t>
  </si>
  <si>
    <t>Actual Spend (INR)</t>
  </si>
  <si>
    <t>AI</t>
  </si>
  <si>
    <t>Accounts &amp; Finance</t>
  </si>
  <si>
    <t>SaaS</t>
  </si>
  <si>
    <t>Retail</t>
  </si>
  <si>
    <t>Cloud Hosting</t>
  </si>
  <si>
    <t>E-commerce</t>
  </si>
  <si>
    <t>Data / Analytics</t>
  </si>
  <si>
    <t>Production</t>
  </si>
  <si>
    <t>Communication</t>
  </si>
  <si>
    <t>Warehouse</t>
  </si>
  <si>
    <t>Domain / Website</t>
  </si>
  <si>
    <t>HR</t>
  </si>
  <si>
    <t>Marketing</t>
  </si>
  <si>
    <t>Security</t>
  </si>
  <si>
    <t>Management</t>
  </si>
  <si>
    <t>Other</t>
  </si>
  <si>
    <t>IT</t>
  </si>
  <si>
    <t>Monthly budget versus actual</t>
  </si>
  <si>
    <t>Month</t>
  </si>
  <si>
    <t>Budget (INR)</t>
  </si>
  <si>
    <t>Actual (INR)</t>
  </si>
  <si>
    <t>Variance (INR)</t>
  </si>
  <si>
    <t>Monthly reporting actions</t>
  </si>
  <si>
    <t>1</t>
  </si>
  <si>
    <t>Update the software and subscription registers</t>
  </si>
  <si>
    <t>Confirm owners, users, costs, renewal dates, status and control fields</t>
  </si>
  <si>
    <t>2</t>
  </si>
  <si>
    <t>Record invoices and payments</t>
  </si>
  <si>
    <t>Enter expense date, base amount, GST, TDS, budget and payment status in IT Spend Log</t>
  </si>
  <si>
    <t>3</t>
  </si>
  <si>
    <t>Review exceptions</t>
  </si>
  <si>
    <t>Close expired renewals, low utilization, pending security reviews and duplicate tools</t>
  </si>
  <si>
    <t>4</t>
  </si>
  <si>
    <t>Approve next-month actions</t>
  </si>
  <si>
    <t>Assign action owner and deadline in the relevant register</t>
  </si>
  <si>
    <t>IT Software Register</t>
  </si>
  <si>
    <t>Update the blue input cells. Formula-driven fields and dashboard results update automatically.</t>
  </si>
  <si>
    <t>Record ID</t>
  </si>
  <si>
    <t>Software / Application</t>
  </si>
  <si>
    <t>Category</t>
  </si>
  <si>
    <t>Deployment</t>
  </si>
  <si>
    <t>Purpose / Module</t>
  </si>
  <si>
    <t>Vendor</t>
  </si>
  <si>
    <t>Business Owner</t>
  </si>
  <si>
    <t>IT Owner</t>
  </si>
  <si>
    <t>License Type</t>
  </si>
  <si>
    <t>Purchased Licenses</t>
  </si>
  <si>
    <t>Assigned Licenses</t>
  </si>
  <si>
    <t>Utilization %</t>
  </si>
  <si>
    <t>Version / Plan</t>
  </si>
  <si>
    <t>Start Date</t>
  </si>
  <si>
    <t>Renewal / Support Due</t>
  </si>
  <si>
    <t>Annual Support Cost (INR)</t>
  </si>
  <si>
    <t>Payment Frequency</t>
  </si>
  <si>
    <t>Auto-Renew</t>
  </si>
  <si>
    <t>Criticality</t>
  </si>
  <si>
    <t>Data Sensitivity</t>
  </si>
  <si>
    <t>SSO / MFA</t>
  </si>
  <si>
    <t>Contract / PO No.</t>
  </si>
  <si>
    <t>Invoice No.</t>
  </si>
  <si>
    <t>Status</t>
  </si>
  <si>
    <t>Days to Renewal</t>
  </si>
  <si>
    <t>Renewal Flag</t>
  </si>
  <si>
    <t>Risk / Issue</t>
  </si>
  <si>
    <t>Action Required</t>
  </si>
  <si>
    <t>Remarks</t>
  </si>
  <si>
    <t>AI and Online Subscription Register</t>
  </si>
  <si>
    <t>Subscription ID</t>
  </si>
  <si>
    <t>Tool / Platform</t>
  </si>
  <si>
    <t>Use Case</t>
  </si>
  <si>
    <t>Website</t>
  </si>
  <si>
    <t>Admin Account / Email</t>
  </si>
  <si>
    <t>Plan</t>
  </si>
  <si>
    <t>Seats</t>
  </si>
  <si>
    <t>Active Users</t>
  </si>
  <si>
    <t>Billing Currency</t>
  </si>
  <si>
    <t>Billing Amount</t>
  </si>
  <si>
    <t>FX Rate to INR</t>
  </si>
  <si>
    <t>Billing Amount (INR)</t>
  </si>
  <si>
    <t>Billing Frequency</t>
  </si>
  <si>
    <t>Renewal Date</t>
  </si>
  <si>
    <t>Payment Mode</t>
  </si>
  <si>
    <t>Card / Bank Last 4</t>
  </si>
  <si>
    <t>GST / Tax Credit</t>
  </si>
  <si>
    <t>Data Shared</t>
  </si>
  <si>
    <t>AI Data Retention / Training</t>
  </si>
  <si>
    <t>Security Review</t>
  </si>
  <si>
    <t>Duplicate / Overlap</t>
  </si>
  <si>
    <t>Cost Saving Action</t>
  </si>
  <si>
    <t>IT Spend Log</t>
  </si>
  <si>
    <t>Expense Date</t>
  </si>
  <si>
    <t>Reporting Month</t>
  </si>
  <si>
    <t>Expense ID</t>
  </si>
  <si>
    <t>Tool / Software</t>
  </si>
  <si>
    <t>Cost Category</t>
  </si>
  <si>
    <t>PO / Contract No.</t>
  </si>
  <si>
    <t>Base Amount (INR)</t>
  </si>
  <si>
    <t>GST (INR)</t>
  </si>
  <si>
    <t>Gross Amount (INR)</t>
  </si>
  <si>
    <t>TDS (INR)</t>
  </si>
  <si>
    <t>Net Paid / Payable (INR)</t>
  </si>
  <si>
    <t>Payment Date</t>
  </si>
  <si>
    <t>Payment Status</t>
  </si>
  <si>
    <t>Budget Amount (INR)</t>
  </si>
  <si>
    <t>Variance to Budget (INR)</t>
  </si>
  <si>
    <t>Capex / Opex</t>
  </si>
  <si>
    <t>Cost Center</t>
  </si>
  <si>
    <t>Frequency</t>
  </si>
  <si>
    <t>Yes No</t>
  </si>
  <si>
    <t>Currency</t>
  </si>
  <si>
    <t>Capex Opex</t>
  </si>
  <si>
    <t>Active</t>
  </si>
  <si>
    <t>ERP</t>
  </si>
  <si>
    <t>Monthly</t>
  </si>
  <si>
    <t>Yes</t>
  </si>
  <si>
    <t>Critical</t>
  </si>
  <si>
    <t>Cloud</t>
  </si>
  <si>
    <t>Named User</t>
  </si>
  <si>
    <t>INR</t>
  </si>
  <si>
    <t>Paid</t>
  </si>
  <si>
    <t>Opex</t>
  </si>
  <si>
    <t>Completed</t>
  </si>
  <si>
    <t>Public</t>
  </si>
  <si>
    <t>Corporate Card</t>
  </si>
  <si>
    <t>Inactive</t>
  </si>
  <si>
    <t>Finance &amp; Accounting</t>
  </si>
  <si>
    <t>Quarterly</t>
  </si>
  <si>
    <t>No</t>
  </si>
  <si>
    <t>High</t>
  </si>
  <si>
    <t>Desktop</t>
  </si>
  <si>
    <t>Concurrent</t>
  </si>
  <si>
    <t>USD</t>
  </si>
  <si>
    <t>Pending</t>
  </si>
  <si>
    <t>Capex</t>
  </si>
  <si>
    <t>Internal</t>
  </si>
  <si>
    <t>Bank Transfer</t>
  </si>
  <si>
    <t>Under Review</t>
  </si>
  <si>
    <t>HRMS</t>
  </si>
  <si>
    <t>Half-Yearly</t>
  </si>
  <si>
    <t>Medium</t>
  </si>
  <si>
    <t>On-premise</t>
  </si>
  <si>
    <t>Site License</t>
  </si>
  <si>
    <t>AED</t>
  </si>
  <si>
    <t>Part Paid</t>
  </si>
  <si>
    <t>Not Required</t>
  </si>
  <si>
    <t>Confidential</t>
  </si>
  <si>
    <t>UPI</t>
  </si>
  <si>
    <t>Planned</t>
  </si>
  <si>
    <t>POS</t>
  </si>
  <si>
    <t>Annual</t>
  </si>
  <si>
    <t>Low</t>
  </si>
  <si>
    <t>Hybrid</t>
  </si>
  <si>
    <t>Perpetual</t>
  </si>
  <si>
    <t>SAR</t>
  </si>
  <si>
    <t>Not Due</t>
  </si>
  <si>
    <t>Restricted</t>
  </si>
  <si>
    <t>Auto Debit</t>
  </si>
  <si>
    <t>Expired</t>
  </si>
  <si>
    <t>Design</t>
  </si>
  <si>
    <t>One-time</t>
  </si>
  <si>
    <t>Device</t>
  </si>
  <si>
    <t>EUR</t>
  </si>
  <si>
    <t>Cancelled</t>
  </si>
  <si>
    <t>Enterprise</t>
  </si>
  <si>
    <t>GBP</t>
  </si>
  <si>
    <t>Productivity</t>
  </si>
  <si>
    <t>Cloud / Hosting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</si>
</sst>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d\-mmm\-yy"/>
    <numFmt numFmtId="166" formatCode="\₹#,##0;[Red]\(\₹#,##0\);\-"/>
    <numFmt numFmtId="167" formatCode="#,##0;[Red]\(#,##0\);\-"/>
    <numFmt numFmtId="168" formatCode="mmm\-yy"/>
  </numFmts>
  <fonts count="10">
    <font>
      <sz val="11"/>
      <name val="Carlito"/>
    </font>
    <font>
      <sz val="10"/>
      <color rgb="FF222222"/>
      <name val="Arial"/>
    </font>
    <font>
      <b/>
      <sz val="10"/>
      <color rgb="FFFFFFFF"/>
      <name val="Arial"/>
    </font>
    <font>
      <b/>
      <sz val="15"/>
      <color rgb="FF17365D"/>
      <name val="Arial"/>
    </font>
    <font>
      <i/>
      <sz val="10"/>
      <color rgb="FF666666"/>
      <name val="Arial"/>
    </font>
    <font>
      <sz val="10"/>
      <color rgb="FF0000FF"/>
      <name val="Arial"/>
    </font>
    <font>
      <b/>
      <sz val="10"/>
      <color rgb="FF0000FF"/>
      <name val="Arial"/>
    </font>
    <font>
      <b/>
      <sz val="10"/>
      <color rgb="FF17365D"/>
      <name val="Arial"/>
    </font>
    <font>
      <b/>
      <sz val="11"/>
      <color rgb="FF222222"/>
      <name val="Arial"/>
    </font>
    <font>
      <sz val="10"/>
      <color rgb="FF008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E1F2"/>
      </right>
      <top style="thin">
        <color rgb="FFFFFFFF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FFFFFF"/>
      </top>
      <bottom style="thin">
        <color rgb="FFD9E1F2"/>
      </bottom>
      <diagonal/>
    </border>
    <border>
      <left style="thin">
        <color rgb="FFD9E1F2"/>
      </left>
      <right style="thin">
        <color rgb="FFFFFFFF"/>
      </right>
      <top style="thin">
        <color rgb="FFFFFFFF"/>
      </top>
      <bottom style="thin">
        <color rgb="FFD9E1F2"/>
      </bottom>
      <diagonal/>
    </border>
    <border>
      <left style="thin">
        <color rgb="FFFFFFFF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FFFFFF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 style="thin">
        <color rgb="FFD9E1F2"/>
      </right>
      <top style="thin">
        <color rgb="FFD9E1F2"/>
      </top>
      <bottom style="thin">
        <color rgb="FFFFFFFF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FFFFFF"/>
      </bottom>
      <diagonal/>
    </border>
    <border>
      <left style="thin">
        <color rgb="FFD9E1F2"/>
      </left>
      <right style="thin">
        <color rgb="FFFFFFFF"/>
      </right>
      <top style="thin">
        <color rgb="FFD9E1F2"/>
      </top>
      <bottom style="thin">
        <color rgb="FFFFFFFF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hair">
        <color rgb="FFD9E1F2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2F75B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12" xfId="0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12" xfId="0" applyNumberFormat="1" applyFont="1" applyBorder="1" applyAlignment="1">
      <alignment vertical="center"/>
    </xf>
    <xf numFmtId="165" fontId="5" fillId="3" borderId="0" xfId="0" applyNumberFormat="1" applyFont="1" applyFill="1" applyAlignment="1">
      <alignment vertical="center"/>
    </xf>
    <xf numFmtId="165" fontId="5" fillId="3" borderId="12" xfId="0" applyNumberFormat="1" applyFont="1" applyFill="1" applyBorder="1" applyAlignment="1">
      <alignment vertical="center"/>
    </xf>
    <xf numFmtId="166" fontId="5" fillId="3" borderId="0" xfId="0" applyNumberFormat="1" applyFont="1" applyFill="1" applyAlignment="1">
      <alignment vertical="center"/>
    </xf>
    <xf numFmtId="166" fontId="5" fillId="3" borderId="12" xfId="0" applyNumberFormat="1" applyFont="1" applyFill="1" applyBorder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0" borderId="12" xfId="0" applyNumberFormat="1" applyFont="1" applyBorder="1" applyAlignment="1">
      <alignment vertical="center"/>
    </xf>
    <xf numFmtId="4" fontId="5" fillId="3" borderId="0" xfId="0" applyNumberFormat="1" applyFont="1" applyFill="1" applyAlignment="1">
      <alignment vertical="center"/>
    </xf>
    <xf numFmtId="4" fontId="1" fillId="0" borderId="0" xfId="0" applyNumberFormat="1" applyFont="1" applyAlignment="1">
      <alignment vertical="center"/>
    </xf>
    <xf numFmtId="4" fontId="5" fillId="3" borderId="12" xfId="0" applyNumberFormat="1" applyFont="1" applyFill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3" borderId="12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12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12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168" fontId="6" fillId="4" borderId="14" xfId="0" applyNumberFormat="1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165" fontId="1" fillId="0" borderId="14" xfId="0" applyNumberFormat="1" applyFont="1" applyBorder="1" applyAlignment="1">
      <alignment vertical="center"/>
    </xf>
    <xf numFmtId="166" fontId="6" fillId="4" borderId="15" xfId="0" applyNumberFormat="1" applyFont="1" applyFill="1" applyBorder="1" applyAlignment="1">
      <alignment vertical="center"/>
    </xf>
    <xf numFmtId="0" fontId="7" fillId="5" borderId="16" xfId="0" applyFont="1" applyFill="1" applyBorder="1" applyAlignment="1">
      <alignment vertical="center"/>
    </xf>
    <xf numFmtId="166" fontId="8" fillId="0" borderId="0" xfId="0" applyNumberFormat="1" applyFont="1" applyAlignment="1">
      <alignment vertical="center"/>
    </xf>
    <xf numFmtId="166" fontId="8" fillId="0" borderId="12" xfId="0" applyNumberFormat="1" applyFont="1" applyBorder="1" applyAlignment="1">
      <alignment vertical="center"/>
    </xf>
    <xf numFmtId="167" fontId="8" fillId="0" borderId="0" xfId="0" applyNumberFormat="1" applyFont="1" applyAlignment="1">
      <alignment vertical="center"/>
    </xf>
    <xf numFmtId="167" fontId="8" fillId="0" borderId="12" xfId="0" applyNumberFormat="1" applyFont="1" applyBorder="1" applyAlignment="1">
      <alignment vertical="center"/>
    </xf>
    <xf numFmtId="167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12" xfId="0" applyNumberFormat="1" applyFont="1" applyBorder="1" applyAlignment="1">
      <alignment vertical="center"/>
    </xf>
    <xf numFmtId="166" fontId="9" fillId="0" borderId="12" xfId="0" applyNumberFormat="1" applyFont="1" applyBorder="1" applyAlignment="1">
      <alignment vertical="center"/>
    </xf>
    <xf numFmtId="168" fontId="1" fillId="0" borderId="12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1">
    <cellStyle name="Normal" xfId="0" builtinId="0"/>
  </cellStyles>
  <dxfs count="12">
    <dxf>
      <font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57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>
                <a:latin typeface="Arial"/>
                <a:ea typeface="Arial"/>
                <a:cs typeface="Arial"/>
              </a:rPr>
              <a:t>Monthly IT Budget vs Actual (INR)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 (INR)</c:v>
          </c:tx>
          <c:invertIfNegative val="1"/>
          <c:cat>
            <c:strRef>
              <c:f>Dashboard!$N$31:$N$42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Dashboard!$O$31:$O$42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C-4619-AE7B-B1DFF7161CCD}"/>
            </c:ext>
          </c:extLst>
        </c:ser>
        <c:ser>
          <c:idx val="1"/>
          <c:order val="1"/>
          <c:tx>
            <c:v>Actual (INR)</c:v>
          </c:tx>
          <c:invertIfNegative val="1"/>
          <c:cat>
            <c:strRef>
              <c:f>Dashboard!$N$31:$N$42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Dashboard!$P$31:$P$42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C-4619-AE7B-B1DFF7161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0.0,,&quot;M&quot;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28</xdr:row>
      <xdr:rowOff>0</xdr:rowOff>
    </xdr:from>
    <xdr:to>
      <xdr:col>13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ftwareRegisterTable" displayName="SoftwareRegisterTable" ref="A6:AD206" totalsRowShown="0">
  <tableColumns count="30">
    <tableColumn id="1" xr3:uid="{00000000-0010-0000-0000-000001000000}" name="Record ID"/>
    <tableColumn id="2" xr3:uid="{00000000-0010-0000-0000-000002000000}" name="Software / Application"/>
    <tableColumn id="3" xr3:uid="{00000000-0010-0000-0000-000003000000}" name="Category"/>
    <tableColumn id="4" xr3:uid="{00000000-0010-0000-0000-000004000000}" name="Deployment"/>
    <tableColumn id="5" xr3:uid="{00000000-0010-0000-0000-000005000000}" name="Purpose / Module"/>
    <tableColumn id="6" xr3:uid="{00000000-0010-0000-0000-000006000000}" name="Vendor"/>
    <tableColumn id="7" xr3:uid="{00000000-0010-0000-0000-000007000000}" name="Business Owner"/>
    <tableColumn id="8" xr3:uid="{00000000-0010-0000-0000-000008000000}" name="IT Owner"/>
    <tableColumn id="9" xr3:uid="{00000000-0010-0000-0000-000009000000}" name="Department"/>
    <tableColumn id="10" xr3:uid="{00000000-0010-0000-0000-00000A000000}" name="License Type"/>
    <tableColumn id="11" xr3:uid="{00000000-0010-0000-0000-00000B000000}" name="Purchased Licenses"/>
    <tableColumn id="12" xr3:uid="{00000000-0010-0000-0000-00000C000000}" name="Assigned Licenses"/>
    <tableColumn id="13" xr3:uid="{00000000-0010-0000-0000-00000D000000}" name="Utilization %"/>
    <tableColumn id="14" xr3:uid="{00000000-0010-0000-0000-00000E000000}" name="Version / Plan"/>
    <tableColumn id="15" xr3:uid="{00000000-0010-0000-0000-00000F000000}" name="Start Date"/>
    <tableColumn id="16" xr3:uid="{00000000-0010-0000-0000-000010000000}" name="Renewal / Support Due"/>
    <tableColumn id="17" xr3:uid="{00000000-0010-0000-0000-000011000000}" name="Annual Support Cost (INR)"/>
    <tableColumn id="18" xr3:uid="{00000000-0010-0000-0000-000012000000}" name="Payment Frequency"/>
    <tableColumn id="19" xr3:uid="{00000000-0010-0000-0000-000013000000}" name="Auto-Renew"/>
    <tableColumn id="20" xr3:uid="{00000000-0010-0000-0000-000014000000}" name="Criticality"/>
    <tableColumn id="21" xr3:uid="{00000000-0010-0000-0000-000015000000}" name="Data Sensitivity"/>
    <tableColumn id="22" xr3:uid="{00000000-0010-0000-0000-000016000000}" name="SSO / MFA"/>
    <tableColumn id="23" xr3:uid="{00000000-0010-0000-0000-000017000000}" name="Contract / PO No."/>
    <tableColumn id="24" xr3:uid="{00000000-0010-0000-0000-000018000000}" name="Invoice No."/>
    <tableColumn id="25" xr3:uid="{00000000-0010-0000-0000-000019000000}" name="Status"/>
    <tableColumn id="26" xr3:uid="{00000000-0010-0000-0000-00001A000000}" name="Days to Renewal"/>
    <tableColumn id="27" xr3:uid="{00000000-0010-0000-0000-00001B000000}" name="Renewal Flag"/>
    <tableColumn id="28" xr3:uid="{00000000-0010-0000-0000-00001C000000}" name="Risk / Issue"/>
    <tableColumn id="29" xr3:uid="{00000000-0010-0000-0000-00001D000000}" name="Action Required"/>
    <tableColumn id="30" xr3:uid="{00000000-0010-0000-0000-00001E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nlineSubscriptionsTable" displayName="OnlineSubscriptionsTable" ref="A6:AI206" totalsRowShown="0">
  <tableColumns count="35">
    <tableColumn id="1" xr3:uid="{00000000-0010-0000-0100-000001000000}" name="Subscription ID"/>
    <tableColumn id="2" xr3:uid="{00000000-0010-0000-0100-000002000000}" name="Tool / Platform"/>
    <tableColumn id="3" xr3:uid="{00000000-0010-0000-0100-000003000000}" name="Subscription Type"/>
    <tableColumn id="4" xr3:uid="{00000000-0010-0000-0100-000004000000}" name="Use Case"/>
    <tableColumn id="5" xr3:uid="{00000000-0010-0000-0100-000005000000}" name="Vendor"/>
    <tableColumn id="6" xr3:uid="{00000000-0010-0000-0100-000006000000}" name="Website"/>
    <tableColumn id="7" xr3:uid="{00000000-0010-0000-0100-000007000000}" name="Business Owner"/>
    <tableColumn id="8" xr3:uid="{00000000-0010-0000-0100-000008000000}" name="Admin Account / Email"/>
    <tableColumn id="9" xr3:uid="{00000000-0010-0000-0100-000009000000}" name="Department"/>
    <tableColumn id="10" xr3:uid="{00000000-0010-0000-0100-00000A000000}" name="Plan"/>
    <tableColumn id="11" xr3:uid="{00000000-0010-0000-0100-00000B000000}" name="Seats"/>
    <tableColumn id="12" xr3:uid="{00000000-0010-0000-0100-00000C000000}" name="Active Users"/>
    <tableColumn id="13" xr3:uid="{00000000-0010-0000-0100-00000D000000}" name="Utilization %"/>
    <tableColumn id="14" xr3:uid="{00000000-0010-0000-0100-00000E000000}" name="Billing Currency"/>
    <tableColumn id="15" xr3:uid="{00000000-0010-0000-0100-00000F000000}" name="Billing Amount"/>
    <tableColumn id="16" xr3:uid="{00000000-0010-0000-0100-000010000000}" name="FX Rate to INR"/>
    <tableColumn id="17" xr3:uid="{00000000-0010-0000-0100-000011000000}" name="Billing Amount (INR)"/>
    <tableColumn id="18" xr3:uid="{00000000-0010-0000-0100-000012000000}" name="Billing Frequency"/>
    <tableColumn id="19" xr3:uid="{00000000-0010-0000-0100-000013000000}" name="Annualized Cost (INR)"/>
    <tableColumn id="20" xr3:uid="{00000000-0010-0000-0100-000014000000}" name="Start Date"/>
    <tableColumn id="21" xr3:uid="{00000000-0010-0000-0100-000015000000}" name="Renewal Date"/>
    <tableColumn id="22" xr3:uid="{00000000-0010-0000-0100-000016000000}" name="Auto-Renew"/>
    <tableColumn id="23" xr3:uid="{00000000-0010-0000-0100-000017000000}" name="Payment Mode"/>
    <tableColumn id="24" xr3:uid="{00000000-0010-0000-0100-000018000000}" name="Card / Bank Last 4"/>
    <tableColumn id="25" xr3:uid="{00000000-0010-0000-0100-000019000000}" name="GST / Tax Credit"/>
    <tableColumn id="26" xr3:uid="{00000000-0010-0000-0100-00001A000000}" name="Data Shared"/>
    <tableColumn id="27" xr3:uid="{00000000-0010-0000-0100-00001B000000}" name="AI Data Retention / Training"/>
    <tableColumn id="28" xr3:uid="{00000000-0010-0000-0100-00001C000000}" name="Security Review"/>
    <tableColumn id="29" xr3:uid="{00000000-0010-0000-0100-00001D000000}" name="Criticality"/>
    <tableColumn id="30" xr3:uid="{00000000-0010-0000-0100-00001E000000}" name="Status"/>
    <tableColumn id="31" xr3:uid="{00000000-0010-0000-0100-00001F000000}" name="Days to Renewal"/>
    <tableColumn id="32" xr3:uid="{00000000-0010-0000-0100-000020000000}" name="Renewal Flag"/>
    <tableColumn id="33" xr3:uid="{00000000-0010-0000-0100-000021000000}" name="Duplicate / Overlap"/>
    <tableColumn id="34" xr3:uid="{00000000-0010-0000-0100-000022000000}" name="Cost Saving Action"/>
    <tableColumn id="35" xr3:uid="{00000000-0010-0000-0100-000023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TSpendLogTable" displayName="ITSpendLogTable" ref="A6:W306" totalsRowShown="0">
  <tableColumns count="23">
    <tableColumn id="1" xr3:uid="{00000000-0010-0000-0200-000001000000}" name="Expense Date"/>
    <tableColumn id="2" xr3:uid="{00000000-0010-0000-0200-000002000000}" name="Reporting Month"/>
    <tableColumn id="3" xr3:uid="{00000000-0010-0000-0200-000003000000}" name="Expense ID"/>
    <tableColumn id="4" xr3:uid="{00000000-0010-0000-0200-000004000000}" name="Vendor"/>
    <tableColumn id="5" xr3:uid="{00000000-0010-0000-0200-000005000000}" name="Tool / Software"/>
    <tableColumn id="6" xr3:uid="{00000000-0010-0000-0200-000006000000}" name="Subscription Type"/>
    <tableColumn id="7" xr3:uid="{00000000-0010-0000-0200-000007000000}" name="Cost Category"/>
    <tableColumn id="8" xr3:uid="{00000000-0010-0000-0200-000008000000}" name="Department"/>
    <tableColumn id="9" xr3:uid="{00000000-0010-0000-0200-000009000000}" name="Invoice No."/>
    <tableColumn id="10" xr3:uid="{00000000-0010-0000-0200-00000A000000}" name="PO / Contract No."/>
    <tableColumn id="11" xr3:uid="{00000000-0010-0000-0200-00000B000000}" name="Base Amount (INR)"/>
    <tableColumn id="12" xr3:uid="{00000000-0010-0000-0200-00000C000000}" name="GST (INR)"/>
    <tableColumn id="13" xr3:uid="{00000000-0010-0000-0200-00000D000000}" name="Gross Amount (INR)"/>
    <tableColumn id="14" xr3:uid="{00000000-0010-0000-0200-00000E000000}" name="TDS (INR)"/>
    <tableColumn id="15" xr3:uid="{00000000-0010-0000-0200-00000F000000}" name="Net Paid / Payable (INR)"/>
    <tableColumn id="16" xr3:uid="{00000000-0010-0000-0200-000010000000}" name="Payment Date"/>
    <tableColumn id="17" xr3:uid="{00000000-0010-0000-0200-000011000000}" name="Payment Status"/>
    <tableColumn id="18" xr3:uid="{00000000-0010-0000-0200-000012000000}" name="Payment Mode"/>
    <tableColumn id="19" xr3:uid="{00000000-0010-0000-0200-000013000000}" name="Budget Amount (INR)"/>
    <tableColumn id="20" xr3:uid="{00000000-0010-0000-0200-000014000000}" name="Variance to Budget (INR)"/>
    <tableColumn id="21" xr3:uid="{00000000-0010-0000-0200-000015000000}" name="Capex / Opex"/>
    <tableColumn id="22" xr3:uid="{00000000-0010-0000-0200-000016000000}" name="Cost Center"/>
    <tableColumn id="23" xr3:uid="{00000000-0010-0000-0200-000017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AZ400"/>
  <sheetViews>
    <sheetView showGridLines="0" workbookViewId="0">
      <pane ySplit="3" topLeftCell="A4" activePane="bottomLeft" state="frozen"/>
      <selection pane="bottomLeft" activeCell="B21" sqref="B21"/>
    </sheetView>
  </sheetViews>
  <sheetFormatPr defaultRowHeight="14.25"/>
  <cols>
    <col min="1" max="1" width="28" customWidth="1"/>
    <col min="2" max="2" width="24" customWidth="1"/>
    <col min="3" max="3" width="30" customWidth="1"/>
    <col min="4" max="4" width="18" customWidth="1"/>
    <col min="5" max="5" width="22" customWidth="1"/>
    <col min="6" max="6" width="34" customWidth="1"/>
    <col min="7" max="8" width="18" customWidth="1"/>
    <col min="9" max="13" width="14" customWidth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9.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38" t="s">
        <v>1</v>
      </c>
      <c r="B3" s="39">
        <v>46266</v>
      </c>
      <c r="C3" s="40"/>
      <c r="D3" s="40" t="s">
        <v>2</v>
      </c>
      <c r="E3" s="41">
        <f>DATE(YEAR(B3)-(MONTH(B3)&lt;4),4,1)</f>
        <v>46113</v>
      </c>
      <c r="F3" s="40"/>
      <c r="G3" s="40" t="s">
        <v>3</v>
      </c>
      <c r="H3" s="42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43" t="s">
        <v>4</v>
      </c>
      <c r="B5" s="43"/>
      <c r="C5" s="43"/>
      <c r="D5" s="43"/>
      <c r="E5" s="1"/>
      <c r="F5" s="43" t="s">
        <v>5</v>
      </c>
      <c r="G5" s="43"/>
      <c r="H5" s="43"/>
      <c r="I5" s="4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5">
      <c r="A6" s="1" t="s">
        <v>6</v>
      </c>
      <c r="B6" s="44">
        <f>B7+B8</f>
        <v>0</v>
      </c>
      <c r="C6" s="1"/>
      <c r="D6" s="1"/>
      <c r="E6" s="1"/>
      <c r="F6" s="1" t="s">
        <v>7</v>
      </c>
      <c r="G6" s="46">
        <f>COUNTIF('Software Register'!$Y$7:$Y$206,"Active")</f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5">
      <c r="A7" s="1" t="s">
        <v>8</v>
      </c>
      <c r="B7" s="44">
        <f>SUMIFS('Software Register'!$Q$7:$Q$206,'Software Register'!$Y$7:$Y$206,"Active")</f>
        <v>0</v>
      </c>
      <c r="C7" s="1"/>
      <c r="D7" s="1"/>
      <c r="E7" s="1"/>
      <c r="F7" s="1" t="s">
        <v>9</v>
      </c>
      <c r="G7" s="46">
        <f>COUNTIF('Online Subscriptions'!$AD$7:$AD$206,"Active")</f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5">
      <c r="A8" s="1" t="s">
        <v>10</v>
      </c>
      <c r="B8" s="44">
        <f>SUMIFS('Online Subscriptions'!$S$7:$S$206,'Online Subscriptions'!$AD$7:$AD$206,"Active")</f>
        <v>0</v>
      </c>
      <c r="C8" s="1"/>
      <c r="D8" s="1"/>
      <c r="E8" s="1"/>
      <c r="F8" s="1" t="s">
        <v>11</v>
      </c>
      <c r="G8" s="46">
        <f>COUNTIF('Software Register'!$AA$7:$AA$206,"Due within 30 days")+COUNTIF('Online Subscriptions'!$AF$7:$AF$206,"Due within 30 days")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5">
      <c r="A9" s="1" t="s">
        <v>12</v>
      </c>
      <c r="B9" s="44">
        <f>SUMIFS('Online Subscriptions'!$S$7:$S$206,'Online Subscriptions'!$AD$7:$AD$206,"Active",'Online Subscriptions'!$C$7:$C$206,"AI")</f>
        <v>0</v>
      </c>
      <c r="C9" s="1"/>
      <c r="D9" s="1"/>
      <c r="E9" s="1"/>
      <c r="F9" s="1" t="s">
        <v>13</v>
      </c>
      <c r="G9" s="46">
        <f>COUNTIF('Software Register'!$AA$7:$AA$206,"Due in 31-60 days")+COUNTIF('Online Subscriptions'!$AF$7:$AF$206,"Due in 31-60 days")</f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5">
      <c r="A10" s="1" t="s">
        <v>14</v>
      </c>
      <c r="B10" s="44">
        <f>SUMIFS('IT Spend Log'!$K$7:$K$306,'IT Spend Log'!$B$7:$B$306,$B$3)</f>
        <v>0</v>
      </c>
      <c r="C10" s="1"/>
      <c r="D10" s="1"/>
      <c r="E10" s="1"/>
      <c r="F10" s="1" t="s">
        <v>15</v>
      </c>
      <c r="G10" s="46">
        <f>COUNTIF('Software Register'!$AA$7:$AA$206,"Expired")+COUNTIF('Online Subscriptions'!$AF$7:$AF$206,"Expired")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5">
      <c r="A11" s="1" t="s">
        <v>16</v>
      </c>
      <c r="B11" s="44">
        <f>$H$3</f>
        <v>0</v>
      </c>
      <c r="C11" s="1"/>
      <c r="D11" s="1"/>
      <c r="E11" s="1"/>
      <c r="F11" s="1" t="s">
        <v>17</v>
      </c>
      <c r="G11" s="46">
        <f>COUNTIFS('Online Subscriptions'!$AD$7:$AD$206,"Active",'Online Subscriptions'!$M$7:$M$206,"&lt;0.5",'Online Subscriptions'!$M$7:$M$206,"&gt;=0")</f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5">
      <c r="A12" s="1" t="s">
        <v>18</v>
      </c>
      <c r="B12" s="44">
        <f>B10-B11</f>
        <v>0</v>
      </c>
      <c r="C12" s="1"/>
      <c r="D12" s="1"/>
      <c r="E12" s="1"/>
      <c r="F12" s="1" t="s">
        <v>19</v>
      </c>
      <c r="G12" s="46">
        <f>COUNTIF('Online Subscriptions'!$AB$7:$AB$206,"Pending")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5">
      <c r="A13" s="16" t="s">
        <v>20</v>
      </c>
      <c r="B13" s="45">
        <f>SUMIFS('IT Spend Log'!$K$7:$K$306,'IT Spend Log'!$A$7:$A$306,"&gt;="&amp;$E$3,'IT Spend Log'!$A$7:$A$306,"&lt;"&amp;DATE(YEAR($B$3),MONTH($B$3)+1,1))</f>
        <v>0</v>
      </c>
      <c r="C13" s="1"/>
      <c r="D13" s="1"/>
      <c r="E13" s="1"/>
      <c r="F13" s="16" t="s">
        <v>21</v>
      </c>
      <c r="G13" s="47">
        <f>COUNTIFS('Online Subscriptions'!$AD$7:$AD$206,"Active",'Online Subscriptions'!$V$7:$V$206,"Yes")</f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43" t="s">
        <v>22</v>
      </c>
      <c r="B16" s="43"/>
      <c r="C16" s="43"/>
      <c r="D16" s="43"/>
      <c r="E16" s="43" t="s">
        <v>23</v>
      </c>
      <c r="F16" s="43"/>
      <c r="G16" s="43"/>
      <c r="H16" s="4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3" t="s">
        <v>24</v>
      </c>
      <c r="B17" s="3" t="s">
        <v>25</v>
      </c>
      <c r="C17" s="3" t="s">
        <v>26</v>
      </c>
      <c r="D17" s="1"/>
      <c r="E17" s="3" t="s">
        <v>27</v>
      </c>
      <c r="F17" s="3" t="s">
        <v>28</v>
      </c>
      <c r="G17" s="3" t="s">
        <v>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 t="s">
        <v>30</v>
      </c>
      <c r="B18" s="48">
        <f>COUNTIFS('Online Subscriptions'!$C$7:$C$206,A18,'Online Subscriptions'!$AD$7:$AD$206,"Active")</f>
        <v>0</v>
      </c>
      <c r="C18" s="49">
        <f>SUMIFS('Online Subscriptions'!$S$7:$S$206,'Online Subscriptions'!$C$7:$C$206,A18,'Online Subscriptions'!$AD$7:$AD$206,"Active")</f>
        <v>0</v>
      </c>
      <c r="D18" s="1"/>
      <c r="E18" s="1" t="s">
        <v>31</v>
      </c>
      <c r="F18" s="48">
        <f>COUNTIFS('IT Spend Log'!$H$7:$H$306,E18,'IT Spend Log'!$A$7:$A$306,"&gt;="&amp;$E$3,'IT Spend Log'!$A$7:$A$306,"&lt;"&amp;DATE(YEAR($B$3),MONTH($B$3)+1,1))</f>
        <v>0</v>
      </c>
      <c r="G18" s="49">
        <f>SUMIFS('IT Spend Log'!$K$7:$K$306,'IT Spend Log'!$H$7:$H$306,E18,'IT Spend Log'!$A$7:$A$306,"&gt;="&amp;$E$3,'IT Spend Log'!$A$7:$A$306,"&lt;"&amp;DATE(YEAR($B$3),MONTH($B$3)+1,1))</f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 t="s">
        <v>32</v>
      </c>
      <c r="B19" s="48">
        <f>COUNTIFS('Online Subscriptions'!$C$7:$C$206,A19,'Online Subscriptions'!$AD$7:$AD$206,"Active")</f>
        <v>0</v>
      </c>
      <c r="C19" s="49">
        <f>SUMIFS('Online Subscriptions'!$S$7:$S$206,'Online Subscriptions'!$C$7:$C$206,A19,'Online Subscriptions'!$AD$7:$AD$206,"Active")</f>
        <v>0</v>
      </c>
      <c r="D19" s="1"/>
      <c r="E19" s="1" t="s">
        <v>33</v>
      </c>
      <c r="F19" s="48">
        <f>COUNTIFS('IT Spend Log'!$H$7:$H$306,E19,'IT Spend Log'!$A$7:$A$306,"&gt;="&amp;$E$3,'IT Spend Log'!$A$7:$A$306,"&lt;"&amp;DATE(YEAR($B$3),MONTH($B$3)+1,1))</f>
        <v>0</v>
      </c>
      <c r="G19" s="49">
        <f>SUMIFS('IT Spend Log'!$K$7:$K$306,'IT Spend Log'!$H$7:$H$306,E19,'IT Spend Log'!$A$7:$A$306,"&gt;="&amp;$E$3,'IT Spend Log'!$A$7:$A$306,"&lt;"&amp;DATE(YEAR($B$3),MONTH($B$3)+1,1))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 t="s">
        <v>34</v>
      </c>
      <c r="B20" s="48">
        <f>COUNTIFS('Online Subscriptions'!$C$7:$C$206,A20,'Online Subscriptions'!$AD$7:$AD$206,"Active")</f>
        <v>0</v>
      </c>
      <c r="C20" s="49">
        <f>SUMIFS('Online Subscriptions'!$S$7:$S$206,'Online Subscriptions'!$C$7:$C$206,A20,'Online Subscriptions'!$AD$7:$AD$206,"Active")</f>
        <v>0</v>
      </c>
      <c r="D20" s="1"/>
      <c r="E20" s="1" t="s">
        <v>35</v>
      </c>
      <c r="F20" s="48">
        <f>COUNTIFS('IT Spend Log'!$H$7:$H$306,E20,'IT Spend Log'!$A$7:$A$306,"&gt;="&amp;$E$3,'IT Spend Log'!$A$7:$A$306,"&lt;"&amp;DATE(YEAR($B$3),MONTH($B$3)+1,1))</f>
        <v>0</v>
      </c>
      <c r="G20" s="49">
        <f>SUMIFS('IT Spend Log'!$K$7:$K$306,'IT Spend Log'!$H$7:$H$306,E20,'IT Spend Log'!$A$7:$A$306,"&gt;="&amp;$E$3,'IT Spend Log'!$A$7:$A$306,"&lt;"&amp;DATE(YEAR($B$3),MONTH($B$3)+1,1))</f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 t="s">
        <v>36</v>
      </c>
      <c r="B21" s="48">
        <f>COUNTIFS('Online Subscriptions'!$C$7:$C$206,A21,'Online Subscriptions'!$AD$7:$AD$206,"Active")</f>
        <v>0</v>
      </c>
      <c r="C21" s="49">
        <f>SUMIFS('Online Subscriptions'!$S$7:$S$206,'Online Subscriptions'!$C$7:$C$206,A21,'Online Subscriptions'!$AD$7:$AD$206,"Active")</f>
        <v>0</v>
      </c>
      <c r="D21" s="1"/>
      <c r="E21" s="1" t="s">
        <v>37</v>
      </c>
      <c r="F21" s="48">
        <f>COUNTIFS('IT Spend Log'!$H$7:$H$306,E21,'IT Spend Log'!$A$7:$A$306,"&gt;="&amp;$E$3,'IT Spend Log'!$A$7:$A$306,"&lt;"&amp;DATE(YEAR($B$3),MONTH($B$3)+1,1))</f>
        <v>0</v>
      </c>
      <c r="G21" s="49">
        <f>SUMIFS('IT Spend Log'!$K$7:$K$306,'IT Spend Log'!$H$7:$H$306,E21,'IT Spend Log'!$A$7:$A$306,"&gt;="&amp;$E$3,'IT Spend Log'!$A$7:$A$306,"&lt;"&amp;DATE(YEAR($B$3),MONTH($B$3)+1,1))</f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 t="s">
        <v>38</v>
      </c>
      <c r="B22" s="48">
        <f>COUNTIFS('Online Subscriptions'!$C$7:$C$206,A22,'Online Subscriptions'!$AD$7:$AD$206,"Active")</f>
        <v>0</v>
      </c>
      <c r="C22" s="49">
        <f>SUMIFS('Online Subscriptions'!$S$7:$S$206,'Online Subscriptions'!$C$7:$C$206,A22,'Online Subscriptions'!$AD$7:$AD$206,"Active")</f>
        <v>0</v>
      </c>
      <c r="D22" s="1"/>
      <c r="E22" s="1" t="s">
        <v>39</v>
      </c>
      <c r="F22" s="48">
        <f>COUNTIFS('IT Spend Log'!$H$7:$H$306,E22,'IT Spend Log'!$A$7:$A$306,"&gt;="&amp;$E$3,'IT Spend Log'!$A$7:$A$306,"&lt;"&amp;DATE(YEAR($B$3),MONTH($B$3)+1,1))</f>
        <v>0</v>
      </c>
      <c r="G22" s="49">
        <f>SUMIFS('IT Spend Log'!$K$7:$K$306,'IT Spend Log'!$H$7:$H$306,E22,'IT Spend Log'!$A$7:$A$306,"&gt;="&amp;$E$3,'IT Spend Log'!$A$7:$A$306,"&lt;"&amp;DATE(YEAR($B$3),MONTH($B$3)+1,1))</f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 t="s">
        <v>40</v>
      </c>
      <c r="B23" s="48">
        <f>COUNTIFS('Online Subscriptions'!$C$7:$C$206,A23,'Online Subscriptions'!$AD$7:$AD$206,"Active")</f>
        <v>0</v>
      </c>
      <c r="C23" s="49">
        <f>SUMIFS('Online Subscriptions'!$S$7:$S$206,'Online Subscriptions'!$C$7:$C$206,A23,'Online Subscriptions'!$AD$7:$AD$206,"Active")</f>
        <v>0</v>
      </c>
      <c r="D23" s="1"/>
      <c r="E23" s="1" t="s">
        <v>41</v>
      </c>
      <c r="F23" s="48">
        <f>COUNTIFS('IT Spend Log'!$H$7:$H$306,E23,'IT Spend Log'!$A$7:$A$306,"&gt;="&amp;$E$3,'IT Spend Log'!$A$7:$A$306,"&lt;"&amp;DATE(YEAR($B$3),MONTH($B$3)+1,1))</f>
        <v>0</v>
      </c>
      <c r="G23" s="49">
        <f>SUMIFS('IT Spend Log'!$K$7:$K$306,'IT Spend Log'!$H$7:$H$306,E23,'IT Spend Log'!$A$7:$A$306,"&gt;="&amp;$E$3,'IT Spend Log'!$A$7:$A$306,"&lt;"&amp;DATE(YEAR($B$3),MONTH($B$3)+1,1))</f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 t="s">
        <v>42</v>
      </c>
      <c r="B24" s="48">
        <f>COUNTIFS('Online Subscriptions'!$C$7:$C$206,A24,'Online Subscriptions'!$AD$7:$AD$206,"Active")</f>
        <v>0</v>
      </c>
      <c r="C24" s="49">
        <f>SUMIFS('Online Subscriptions'!$S$7:$S$206,'Online Subscriptions'!$C$7:$C$206,A24,'Online Subscriptions'!$AD$7:$AD$206,"Active")</f>
        <v>0</v>
      </c>
      <c r="D24" s="1"/>
      <c r="E24" s="1" t="s">
        <v>42</v>
      </c>
      <c r="F24" s="48">
        <f>COUNTIFS('IT Spend Log'!$H$7:$H$306,E24,'IT Spend Log'!$A$7:$A$306,"&gt;="&amp;$E$3,'IT Spend Log'!$A$7:$A$306,"&lt;"&amp;DATE(YEAR($B$3),MONTH($B$3)+1,1))</f>
        <v>0</v>
      </c>
      <c r="G24" s="49">
        <f>SUMIFS('IT Spend Log'!$K$7:$K$306,'IT Spend Log'!$H$7:$H$306,E24,'IT Spend Log'!$A$7:$A$306,"&gt;="&amp;$E$3,'IT Spend Log'!$A$7:$A$306,"&lt;"&amp;DATE(YEAR($B$3),MONTH($B$3)+1,1))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 t="s">
        <v>43</v>
      </c>
      <c r="B25" s="48">
        <f>COUNTIFS('Online Subscriptions'!$C$7:$C$206,A25,'Online Subscriptions'!$AD$7:$AD$206,"Active")</f>
        <v>0</v>
      </c>
      <c r="C25" s="49">
        <f>SUMIFS('Online Subscriptions'!$S$7:$S$206,'Online Subscriptions'!$C$7:$C$206,A25,'Online Subscriptions'!$AD$7:$AD$206,"Active")</f>
        <v>0</v>
      </c>
      <c r="D25" s="1"/>
      <c r="E25" s="1" t="s">
        <v>44</v>
      </c>
      <c r="F25" s="48">
        <f>COUNTIFS('IT Spend Log'!$H$7:$H$306,E25,'IT Spend Log'!$A$7:$A$306,"&gt;="&amp;$E$3,'IT Spend Log'!$A$7:$A$306,"&lt;"&amp;DATE(YEAR($B$3),MONTH($B$3)+1,1))</f>
        <v>0</v>
      </c>
      <c r="G25" s="49">
        <f>SUMIFS('IT Spend Log'!$K$7:$K$306,'IT Spend Log'!$H$7:$H$306,E25,'IT Spend Log'!$A$7:$A$306,"&gt;="&amp;$E$3,'IT Spend Log'!$A$7:$A$306,"&lt;"&amp;DATE(YEAR($B$3),MONTH($B$3)+1,1))</f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6" t="s">
        <v>45</v>
      </c>
      <c r="B26" s="50">
        <f>COUNTIFS('Online Subscriptions'!$C$7:$C$206,A26,'Online Subscriptions'!$AD$7:$AD$206,"Active")</f>
        <v>0</v>
      </c>
      <c r="C26" s="51">
        <f>SUMIFS('Online Subscriptions'!$S$7:$S$206,'Online Subscriptions'!$C$7:$C$206,A26,'Online Subscriptions'!$AD$7:$AD$206,"Active")</f>
        <v>0</v>
      </c>
      <c r="D26" s="1"/>
      <c r="E26" s="16" t="s">
        <v>46</v>
      </c>
      <c r="F26" s="50">
        <f>COUNTIFS('IT Spend Log'!$H$7:$H$306,E26,'IT Spend Log'!$A$7:$A$306,"&gt;="&amp;$E$3,'IT Spend Log'!$A$7:$A$306,"&lt;"&amp;DATE(YEAR($B$3),MONTH($B$3)+1,1))</f>
        <v>0</v>
      </c>
      <c r="G26" s="51">
        <f>SUMIFS('IT Spend Log'!$K$7:$K$306,'IT Spend Log'!$H$7:$H$306,E26,'IT Spend Log'!$A$7:$A$306,"&gt;="&amp;$E$3,'IT Spend Log'!$A$7:$A$306,"&lt;"&amp;DATE(YEAR($B$3),MONTH($B$3)+1,1))</f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43" t="s">
        <v>47</v>
      </c>
      <c r="B29" s="43"/>
      <c r="C29" s="43"/>
      <c r="D29" s="4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3" t="s">
        <v>48</v>
      </c>
      <c r="B30" s="3" t="s">
        <v>49</v>
      </c>
      <c r="C30" s="3" t="s">
        <v>50</v>
      </c>
      <c r="D30" s="3" t="s">
        <v>51</v>
      </c>
      <c r="E30" s="1"/>
      <c r="F30" s="1"/>
      <c r="G30" s="1"/>
      <c r="H30" s="1"/>
      <c r="I30" s="1"/>
      <c r="J30" s="1"/>
      <c r="K30" s="1"/>
      <c r="L30" s="1"/>
      <c r="M30" s="1"/>
      <c r="N30" s="1" t="s">
        <v>48</v>
      </c>
      <c r="O30" s="1" t="s">
        <v>49</v>
      </c>
      <c r="P30" s="1" t="s">
        <v>50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37">
        <f>$E$3</f>
        <v>46113</v>
      </c>
      <c r="B31" s="49">
        <f t="shared" ref="B31:B42" si="0">IF(A31&lt;=$B$3,$H$3,0)</f>
        <v>0</v>
      </c>
      <c r="C31" s="49">
        <f>SUMIFS('IT Spend Log'!$K$7:$K$306,'IT Spend Log'!$B$7:$B$306,A31)</f>
        <v>0</v>
      </c>
      <c r="D31" s="49">
        <f t="shared" ref="D31:D42" si="1">C31-B31</f>
        <v>0</v>
      </c>
      <c r="E31" s="1"/>
      <c r="F31" s="1"/>
      <c r="G31" s="1"/>
      <c r="H31" s="1"/>
      <c r="I31" s="1"/>
      <c r="J31" s="1"/>
      <c r="K31" s="1"/>
      <c r="L31" s="1"/>
      <c r="M31" s="1"/>
      <c r="N31" s="1" t="str">
        <f t="shared" ref="N31:N42" si="2">TEXT(A31,"mmm-yy")</f>
        <v>Apr-26</v>
      </c>
      <c r="O31" s="1">
        <f t="shared" ref="O31:O42" si="3">B31</f>
        <v>0</v>
      </c>
      <c r="P31" s="1">
        <f t="shared" ref="P31:P42" si="4">C31</f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37">
        <f t="shared" ref="A32:A42" si="5">DATE(YEAR(A31),MONTH(A31)+1,1)</f>
        <v>46143</v>
      </c>
      <c r="B32" s="49">
        <f t="shared" si="0"/>
        <v>0</v>
      </c>
      <c r="C32" s="49">
        <f>SUMIFS('IT Spend Log'!$K$7:$K$306,'IT Spend Log'!$B$7:$B$306,A32)</f>
        <v>0</v>
      </c>
      <c r="D32" s="49">
        <f t="shared" si="1"/>
        <v>0</v>
      </c>
      <c r="E32" s="1"/>
      <c r="F32" s="1"/>
      <c r="G32" s="1"/>
      <c r="H32" s="1"/>
      <c r="I32" s="1"/>
      <c r="J32" s="1"/>
      <c r="K32" s="1"/>
      <c r="L32" s="1"/>
      <c r="M32" s="1"/>
      <c r="N32" s="1" t="str">
        <f t="shared" si="2"/>
        <v>May-26</v>
      </c>
      <c r="O32" s="1">
        <f t="shared" si="3"/>
        <v>0</v>
      </c>
      <c r="P32" s="1">
        <f t="shared" si="4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37">
        <f t="shared" si="5"/>
        <v>46174</v>
      </c>
      <c r="B33" s="49">
        <f t="shared" si="0"/>
        <v>0</v>
      </c>
      <c r="C33" s="49">
        <f>SUMIFS('IT Spend Log'!$K$7:$K$306,'IT Spend Log'!$B$7:$B$306,A33)</f>
        <v>0</v>
      </c>
      <c r="D33" s="49">
        <f t="shared" si="1"/>
        <v>0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2"/>
        <v>Jun-26</v>
      </c>
      <c r="O33" s="1">
        <f t="shared" si="3"/>
        <v>0</v>
      </c>
      <c r="P33" s="1">
        <f t="shared" si="4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37">
        <f t="shared" si="5"/>
        <v>46204</v>
      </c>
      <c r="B34" s="49">
        <f t="shared" si="0"/>
        <v>0</v>
      </c>
      <c r="C34" s="49">
        <f>SUMIFS('IT Spend Log'!$K$7:$K$306,'IT Spend Log'!$B$7:$B$306,A34)</f>
        <v>0</v>
      </c>
      <c r="D34" s="49">
        <f t="shared" si="1"/>
        <v>0</v>
      </c>
      <c r="E34" s="1"/>
      <c r="F34" s="1"/>
      <c r="G34" s="1"/>
      <c r="H34" s="1"/>
      <c r="I34" s="1"/>
      <c r="J34" s="1"/>
      <c r="K34" s="1"/>
      <c r="L34" s="1"/>
      <c r="M34" s="1"/>
      <c r="N34" s="1" t="str">
        <f t="shared" si="2"/>
        <v>Jul-26</v>
      </c>
      <c r="O34" s="1">
        <f t="shared" si="3"/>
        <v>0</v>
      </c>
      <c r="P34" s="1">
        <f t="shared" si="4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37">
        <f t="shared" si="5"/>
        <v>46235</v>
      </c>
      <c r="B35" s="49">
        <f t="shared" si="0"/>
        <v>0</v>
      </c>
      <c r="C35" s="49">
        <f>SUMIFS('IT Spend Log'!$K$7:$K$306,'IT Spend Log'!$B$7:$B$306,A35)</f>
        <v>0</v>
      </c>
      <c r="D35" s="49">
        <f t="shared" si="1"/>
        <v>0</v>
      </c>
      <c r="E35" s="1"/>
      <c r="F35" s="1"/>
      <c r="G35" s="1"/>
      <c r="H35" s="1"/>
      <c r="I35" s="1"/>
      <c r="J35" s="1"/>
      <c r="K35" s="1"/>
      <c r="L35" s="1"/>
      <c r="M35" s="1"/>
      <c r="N35" s="1" t="str">
        <f t="shared" si="2"/>
        <v>Aug-26</v>
      </c>
      <c r="O35" s="1">
        <f t="shared" si="3"/>
        <v>0</v>
      </c>
      <c r="P35" s="1">
        <f t="shared" si="4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37">
        <f t="shared" si="5"/>
        <v>46266</v>
      </c>
      <c r="B36" s="49">
        <f t="shared" si="0"/>
        <v>0</v>
      </c>
      <c r="C36" s="49">
        <f>SUMIFS('IT Spend Log'!$K$7:$K$306,'IT Spend Log'!$B$7:$B$306,A36)</f>
        <v>0</v>
      </c>
      <c r="D36" s="49">
        <f t="shared" si="1"/>
        <v>0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2"/>
        <v>Sep-26</v>
      </c>
      <c r="O36" s="1">
        <f t="shared" si="3"/>
        <v>0</v>
      </c>
      <c r="P36" s="1">
        <f t="shared" si="4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37">
        <f t="shared" si="5"/>
        <v>46296</v>
      </c>
      <c r="B37" s="49">
        <f t="shared" si="0"/>
        <v>0</v>
      </c>
      <c r="C37" s="49">
        <f>SUMIFS('IT Spend Log'!$K$7:$K$306,'IT Spend Log'!$B$7:$B$306,A37)</f>
        <v>0</v>
      </c>
      <c r="D37" s="49">
        <f t="shared" si="1"/>
        <v>0</v>
      </c>
      <c r="E37" s="1"/>
      <c r="F37" s="1"/>
      <c r="G37" s="1"/>
      <c r="H37" s="1"/>
      <c r="I37" s="1"/>
      <c r="J37" s="1"/>
      <c r="K37" s="1"/>
      <c r="L37" s="1"/>
      <c r="M37" s="1"/>
      <c r="N37" s="1" t="str">
        <f t="shared" si="2"/>
        <v>Oct-26</v>
      </c>
      <c r="O37" s="1">
        <f t="shared" si="3"/>
        <v>0</v>
      </c>
      <c r="P37" s="1">
        <f t="shared" si="4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37">
        <f t="shared" si="5"/>
        <v>46327</v>
      </c>
      <c r="B38" s="49">
        <f t="shared" si="0"/>
        <v>0</v>
      </c>
      <c r="C38" s="49">
        <f>SUMIFS('IT Spend Log'!$K$7:$K$306,'IT Spend Log'!$B$7:$B$306,A38)</f>
        <v>0</v>
      </c>
      <c r="D38" s="49">
        <f t="shared" si="1"/>
        <v>0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2"/>
        <v>Nov-26</v>
      </c>
      <c r="O38" s="1">
        <f t="shared" si="3"/>
        <v>0</v>
      </c>
      <c r="P38" s="1">
        <f t="shared" si="4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37">
        <f t="shared" si="5"/>
        <v>46357</v>
      </c>
      <c r="B39" s="49">
        <f t="shared" si="0"/>
        <v>0</v>
      </c>
      <c r="C39" s="49">
        <f>SUMIFS('IT Spend Log'!$K$7:$K$306,'IT Spend Log'!$B$7:$B$306,A39)</f>
        <v>0</v>
      </c>
      <c r="D39" s="49">
        <f t="shared" si="1"/>
        <v>0</v>
      </c>
      <c r="E39" s="1"/>
      <c r="F39" s="1"/>
      <c r="G39" s="1"/>
      <c r="H39" s="1"/>
      <c r="I39" s="1"/>
      <c r="J39" s="1"/>
      <c r="K39" s="1"/>
      <c r="L39" s="1"/>
      <c r="M39" s="1"/>
      <c r="N39" s="1" t="str">
        <f t="shared" si="2"/>
        <v>Dec-26</v>
      </c>
      <c r="O39" s="1">
        <f t="shared" si="3"/>
        <v>0</v>
      </c>
      <c r="P39" s="1">
        <f t="shared" si="4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37">
        <f t="shared" si="5"/>
        <v>46388</v>
      </c>
      <c r="B40" s="49">
        <f t="shared" si="0"/>
        <v>0</v>
      </c>
      <c r="C40" s="49">
        <f>SUMIFS('IT Spend Log'!$K$7:$K$306,'IT Spend Log'!$B$7:$B$306,A40)</f>
        <v>0</v>
      </c>
      <c r="D40" s="49">
        <f t="shared" si="1"/>
        <v>0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2"/>
        <v>Jan-27</v>
      </c>
      <c r="O40" s="1">
        <f t="shared" si="3"/>
        <v>0</v>
      </c>
      <c r="P40" s="1">
        <f t="shared" si="4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37">
        <f t="shared" si="5"/>
        <v>46419</v>
      </c>
      <c r="B41" s="49">
        <f t="shared" si="0"/>
        <v>0</v>
      </c>
      <c r="C41" s="49">
        <f>SUMIFS('IT Spend Log'!$K$7:$K$306,'IT Spend Log'!$B$7:$B$306,A41)</f>
        <v>0</v>
      </c>
      <c r="D41" s="49">
        <f t="shared" si="1"/>
        <v>0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2"/>
        <v>Feb-27</v>
      </c>
      <c r="O41" s="1">
        <f t="shared" si="3"/>
        <v>0</v>
      </c>
      <c r="P41" s="1">
        <f t="shared" si="4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52">
        <f t="shared" si="5"/>
        <v>46447</v>
      </c>
      <c r="B42" s="51">
        <f t="shared" si="0"/>
        <v>0</v>
      </c>
      <c r="C42" s="51">
        <f>SUMIFS('IT Spend Log'!$K$7:$K$306,'IT Spend Log'!$B$7:$B$306,A42)</f>
        <v>0</v>
      </c>
      <c r="D42" s="51">
        <f t="shared" si="1"/>
        <v>0</v>
      </c>
      <c r="E42" s="1"/>
      <c r="F42" s="1"/>
      <c r="G42" s="1"/>
      <c r="H42" s="1"/>
      <c r="I42" s="1"/>
      <c r="J42" s="1"/>
      <c r="K42" s="1"/>
      <c r="L42" s="1"/>
      <c r="M42" s="1"/>
      <c r="N42" s="1" t="str">
        <f t="shared" si="2"/>
        <v>Mar-27</v>
      </c>
      <c r="O42" s="1">
        <f t="shared" si="3"/>
        <v>0</v>
      </c>
      <c r="P42" s="1">
        <f t="shared" si="4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2" t="s">
        <v>52</v>
      </c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48" customHeight="1">
      <c r="A46" s="53" t="s">
        <v>53</v>
      </c>
      <c r="B46" s="54" t="s">
        <v>54</v>
      </c>
      <c r="C46" s="55" t="s">
        <v>55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48" customHeight="1">
      <c r="A47" s="53" t="s">
        <v>56</v>
      </c>
      <c r="B47" s="54" t="s">
        <v>57</v>
      </c>
      <c r="C47" s="55" t="s">
        <v>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48" customHeight="1">
      <c r="A48" s="53" t="s">
        <v>59</v>
      </c>
      <c r="B48" s="54" t="s">
        <v>60</v>
      </c>
      <c r="C48" s="55" t="s">
        <v>61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48" customHeight="1">
      <c r="A49" s="56" t="s">
        <v>62</v>
      </c>
      <c r="B49" s="57" t="s">
        <v>63</v>
      </c>
      <c r="C49" s="58" t="s">
        <v>64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</sheetData>
  <conditionalFormatting sqref="B12">
    <cfRule type="cellIs" dxfId="11" priority="1" operator="greaterThan">
      <formula>0</formula>
    </cfRule>
    <cfRule type="cellIs" dxfId="10" priority="2" operator="lessThanOrEqual">
      <formula>0</formula>
    </cfRule>
  </conditionalFormatting>
  <conditionalFormatting sqref="D31:D42">
    <cfRule type="cellIs" dxfId="9" priority="4" operator="greaterThan">
      <formula>0</formula>
    </cfRule>
    <cfRule type="cellIs" dxfId="8" priority="5" operator="lessThan">
      <formula>0</formula>
    </cfRule>
  </conditionalFormatting>
  <conditionalFormatting sqref="G8:G12">
    <cfRule type="cellIs" dxfId="7" priority="3" operator="greaterThan">
      <formula>0</formula>
    </cfRule>
  </conditionalFormatting>
  <dataValidations count="1">
    <dataValidation type="date" sqref="B3" xr:uid="{00000000-0002-0000-0000-000000000000}">
      <formula1>2020-1-1</formula1>
      <formula2>2035-12-31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AZ400"/>
  <sheetViews>
    <sheetView showGridLines="0" workbookViewId="0">
      <pane xSplit="2" ySplit="6" topLeftCell="I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1" width="12" customWidth="1"/>
    <col min="2" max="2" width="24" customWidth="1"/>
    <col min="3" max="4" width="18" customWidth="1"/>
    <col min="5" max="5" width="28" customWidth="1"/>
    <col min="6" max="10" width="18" customWidth="1"/>
    <col min="11" max="13" width="14" customWidth="1"/>
    <col min="14" max="16" width="17" customWidth="1"/>
    <col min="17" max="17" width="20" customWidth="1"/>
    <col min="18" max="21" width="16" customWidth="1"/>
    <col min="22" max="25" width="17" customWidth="1"/>
    <col min="26" max="27" width="18" customWidth="1"/>
    <col min="28" max="30" width="28" customWidth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9.5">
      <c r="A2" s="14" t="s">
        <v>65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5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38.1" customHeight="1">
      <c r="A6" s="3" t="s">
        <v>67</v>
      </c>
      <c r="B6" s="3" t="s">
        <v>68</v>
      </c>
      <c r="C6" s="3" t="s">
        <v>69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27</v>
      </c>
      <c r="J6" s="3" t="s">
        <v>75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80</v>
      </c>
      <c r="P6" s="3" t="s">
        <v>81</v>
      </c>
      <c r="Q6" s="3" t="s">
        <v>82</v>
      </c>
      <c r="R6" s="3" t="s">
        <v>83</v>
      </c>
      <c r="S6" s="3" t="s">
        <v>84</v>
      </c>
      <c r="T6" s="3" t="s">
        <v>85</v>
      </c>
      <c r="U6" s="3" t="s">
        <v>86</v>
      </c>
      <c r="V6" s="3" t="s">
        <v>87</v>
      </c>
      <c r="W6" s="3" t="s">
        <v>88</v>
      </c>
      <c r="X6" s="3" t="s">
        <v>89</v>
      </c>
      <c r="Y6" s="3" t="s">
        <v>90</v>
      </c>
      <c r="Z6" s="3" t="s">
        <v>91</v>
      </c>
      <c r="AA6" s="3" t="s">
        <v>92</v>
      </c>
      <c r="AB6" s="3" t="s">
        <v>93</v>
      </c>
      <c r="AC6" s="3" t="s">
        <v>94</v>
      </c>
      <c r="AD6" s="3" t="s">
        <v>95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9" t="str">
        <f t="shared" ref="M7:M38" si="0">IF(OR(K7="",K7=0,L7=""),"",L7/K7)</f>
        <v/>
      </c>
      <c r="N7" s="17"/>
      <c r="O7" s="21"/>
      <c r="P7" s="21"/>
      <c r="Q7" s="23"/>
      <c r="R7" s="17"/>
      <c r="S7" s="17"/>
      <c r="T7" s="17"/>
      <c r="U7" s="17"/>
      <c r="V7" s="17"/>
      <c r="W7" s="17"/>
      <c r="X7" s="17"/>
      <c r="Y7" s="17"/>
      <c r="Z7" s="25" t="str">
        <f t="shared" ref="Z7:Z38" ca="1" si="1">IF(P7="","",P7-TODAY())</f>
        <v/>
      </c>
      <c r="AA7" s="1" t="str">
        <f t="shared" ref="AA7:AA38" si="2">IF(P7="","",IF(Y7&lt;&gt;"Active","Inactive",IF(Z7&lt;0,"Expired",IF(Z7&lt;=30,"Due within 30 days",IF(Z7&lt;=60,"Due in 31-60 days",IF(Z7&lt;=90,"Due in 61-90 days","Later"))))))</f>
        <v/>
      </c>
      <c r="AB7" s="17"/>
      <c r="AC7" s="17"/>
      <c r="AD7" s="1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9" t="str">
        <f t="shared" si="0"/>
        <v/>
      </c>
      <c r="N8" s="17"/>
      <c r="O8" s="21"/>
      <c r="P8" s="21"/>
      <c r="Q8" s="23"/>
      <c r="R8" s="17"/>
      <c r="S8" s="17"/>
      <c r="T8" s="17"/>
      <c r="U8" s="17"/>
      <c r="V8" s="17"/>
      <c r="W8" s="17"/>
      <c r="X8" s="17"/>
      <c r="Y8" s="17"/>
      <c r="Z8" s="25" t="str">
        <f t="shared" ca="1" si="1"/>
        <v/>
      </c>
      <c r="AA8" s="1" t="str">
        <f t="shared" si="2"/>
        <v/>
      </c>
      <c r="AB8" s="17"/>
      <c r="AC8" s="17"/>
      <c r="AD8" s="17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9" t="str">
        <f t="shared" si="0"/>
        <v/>
      </c>
      <c r="N9" s="17"/>
      <c r="O9" s="21"/>
      <c r="P9" s="21"/>
      <c r="Q9" s="23"/>
      <c r="R9" s="17"/>
      <c r="S9" s="17"/>
      <c r="T9" s="17"/>
      <c r="U9" s="17"/>
      <c r="V9" s="17"/>
      <c r="W9" s="17"/>
      <c r="X9" s="17"/>
      <c r="Y9" s="17"/>
      <c r="Z9" s="25" t="str">
        <f t="shared" ca="1" si="1"/>
        <v/>
      </c>
      <c r="AA9" s="1" t="str">
        <f t="shared" si="2"/>
        <v/>
      </c>
      <c r="AB9" s="17"/>
      <c r="AC9" s="17"/>
      <c r="AD9" s="17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9" t="str">
        <f t="shared" si="0"/>
        <v/>
      </c>
      <c r="N10" s="17"/>
      <c r="O10" s="21"/>
      <c r="P10" s="21"/>
      <c r="Q10" s="23"/>
      <c r="R10" s="17"/>
      <c r="S10" s="17"/>
      <c r="T10" s="17"/>
      <c r="U10" s="17"/>
      <c r="V10" s="17"/>
      <c r="W10" s="17"/>
      <c r="X10" s="17"/>
      <c r="Y10" s="17"/>
      <c r="Z10" s="25" t="str">
        <f t="shared" ca="1" si="1"/>
        <v/>
      </c>
      <c r="AA10" s="1" t="str">
        <f t="shared" si="2"/>
        <v/>
      </c>
      <c r="AB10" s="17"/>
      <c r="AC10" s="17"/>
      <c r="AD10" s="17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9" t="str">
        <f t="shared" si="0"/>
        <v/>
      </c>
      <c r="N11" s="17"/>
      <c r="O11" s="21"/>
      <c r="P11" s="21"/>
      <c r="Q11" s="23"/>
      <c r="R11" s="17"/>
      <c r="S11" s="17"/>
      <c r="T11" s="17"/>
      <c r="U11" s="17"/>
      <c r="V11" s="17"/>
      <c r="W11" s="17"/>
      <c r="X11" s="17"/>
      <c r="Y11" s="17"/>
      <c r="Z11" s="25" t="str">
        <f t="shared" ca="1" si="1"/>
        <v/>
      </c>
      <c r="AA11" s="1" t="str">
        <f t="shared" si="2"/>
        <v/>
      </c>
      <c r="AB11" s="17"/>
      <c r="AC11" s="17"/>
      <c r="AD11" s="17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9" t="str">
        <f t="shared" si="0"/>
        <v/>
      </c>
      <c r="N12" s="17"/>
      <c r="O12" s="21"/>
      <c r="P12" s="21"/>
      <c r="Q12" s="23"/>
      <c r="R12" s="17"/>
      <c r="S12" s="17"/>
      <c r="T12" s="17"/>
      <c r="U12" s="17"/>
      <c r="V12" s="17"/>
      <c r="W12" s="17"/>
      <c r="X12" s="17"/>
      <c r="Y12" s="17"/>
      <c r="Z12" s="25" t="str">
        <f t="shared" ca="1" si="1"/>
        <v/>
      </c>
      <c r="AA12" s="1" t="str">
        <f t="shared" si="2"/>
        <v/>
      </c>
      <c r="AB12" s="17"/>
      <c r="AC12" s="17"/>
      <c r="AD12" s="17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9" t="str">
        <f t="shared" si="0"/>
        <v/>
      </c>
      <c r="N13" s="17"/>
      <c r="O13" s="21"/>
      <c r="P13" s="21"/>
      <c r="Q13" s="23"/>
      <c r="R13" s="17"/>
      <c r="S13" s="17"/>
      <c r="T13" s="17"/>
      <c r="U13" s="17"/>
      <c r="V13" s="17"/>
      <c r="W13" s="17"/>
      <c r="X13" s="17"/>
      <c r="Y13" s="17"/>
      <c r="Z13" s="25" t="str">
        <f t="shared" ca="1" si="1"/>
        <v/>
      </c>
      <c r="AA13" s="1" t="str">
        <f t="shared" si="2"/>
        <v/>
      </c>
      <c r="AB13" s="17"/>
      <c r="AC13" s="17"/>
      <c r="AD13" s="17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9" t="str">
        <f t="shared" si="0"/>
        <v/>
      </c>
      <c r="N14" s="17"/>
      <c r="O14" s="21"/>
      <c r="P14" s="21"/>
      <c r="Q14" s="23"/>
      <c r="R14" s="17"/>
      <c r="S14" s="17"/>
      <c r="T14" s="17"/>
      <c r="U14" s="17"/>
      <c r="V14" s="17"/>
      <c r="W14" s="17"/>
      <c r="X14" s="17"/>
      <c r="Y14" s="17"/>
      <c r="Z14" s="25" t="str">
        <f t="shared" ca="1" si="1"/>
        <v/>
      </c>
      <c r="AA14" s="1" t="str">
        <f t="shared" si="2"/>
        <v/>
      </c>
      <c r="AB14" s="17"/>
      <c r="AC14" s="17"/>
      <c r="AD14" s="17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8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9" t="str">
        <f t="shared" si="0"/>
        <v/>
      </c>
      <c r="N15" s="17"/>
      <c r="O15" s="21"/>
      <c r="P15" s="21"/>
      <c r="Q15" s="23"/>
      <c r="R15" s="17"/>
      <c r="S15" s="17"/>
      <c r="T15" s="17"/>
      <c r="U15" s="17"/>
      <c r="V15" s="17"/>
      <c r="W15" s="17"/>
      <c r="X15" s="17"/>
      <c r="Y15" s="17"/>
      <c r="Z15" s="25" t="str">
        <f t="shared" ca="1" si="1"/>
        <v/>
      </c>
      <c r="AA15" s="1" t="str">
        <f t="shared" si="2"/>
        <v/>
      </c>
      <c r="AB15" s="17"/>
      <c r="AC15" s="17"/>
      <c r="AD15" s="17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8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9" t="str">
        <f t="shared" si="0"/>
        <v/>
      </c>
      <c r="N16" s="17"/>
      <c r="O16" s="21"/>
      <c r="P16" s="21"/>
      <c r="Q16" s="23"/>
      <c r="R16" s="17"/>
      <c r="S16" s="17"/>
      <c r="T16" s="17"/>
      <c r="U16" s="17"/>
      <c r="V16" s="17"/>
      <c r="W16" s="17"/>
      <c r="X16" s="17"/>
      <c r="Y16" s="17"/>
      <c r="Z16" s="25" t="str">
        <f t="shared" ca="1" si="1"/>
        <v/>
      </c>
      <c r="AA16" s="1" t="str">
        <f t="shared" si="2"/>
        <v/>
      </c>
      <c r="AB16" s="17"/>
      <c r="AC16" s="17"/>
      <c r="AD16" s="17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8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9" t="str">
        <f t="shared" si="0"/>
        <v/>
      </c>
      <c r="N17" s="17"/>
      <c r="O17" s="21"/>
      <c r="P17" s="21"/>
      <c r="Q17" s="23"/>
      <c r="R17" s="17"/>
      <c r="S17" s="17"/>
      <c r="T17" s="17"/>
      <c r="U17" s="17"/>
      <c r="V17" s="17"/>
      <c r="W17" s="17"/>
      <c r="X17" s="17"/>
      <c r="Y17" s="17"/>
      <c r="Z17" s="25" t="str">
        <f t="shared" ca="1" si="1"/>
        <v/>
      </c>
      <c r="AA17" s="1" t="str">
        <f t="shared" si="2"/>
        <v/>
      </c>
      <c r="AB17" s="17"/>
      <c r="AC17" s="17"/>
      <c r="AD17" s="17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8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9" t="str">
        <f t="shared" si="0"/>
        <v/>
      </c>
      <c r="N18" s="17"/>
      <c r="O18" s="21"/>
      <c r="P18" s="21"/>
      <c r="Q18" s="23"/>
      <c r="R18" s="17"/>
      <c r="S18" s="17"/>
      <c r="T18" s="17"/>
      <c r="U18" s="17"/>
      <c r="V18" s="17"/>
      <c r="W18" s="17"/>
      <c r="X18" s="17"/>
      <c r="Y18" s="17"/>
      <c r="Z18" s="25" t="str">
        <f t="shared" ca="1" si="1"/>
        <v/>
      </c>
      <c r="AA18" s="1" t="str">
        <f t="shared" si="2"/>
        <v/>
      </c>
      <c r="AB18" s="17"/>
      <c r="AC18" s="17"/>
      <c r="AD18" s="17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8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9" t="str">
        <f t="shared" si="0"/>
        <v/>
      </c>
      <c r="N19" s="17"/>
      <c r="O19" s="21"/>
      <c r="P19" s="21"/>
      <c r="Q19" s="23"/>
      <c r="R19" s="17"/>
      <c r="S19" s="17"/>
      <c r="T19" s="17"/>
      <c r="U19" s="17"/>
      <c r="V19" s="17"/>
      <c r="W19" s="17"/>
      <c r="X19" s="17"/>
      <c r="Y19" s="17"/>
      <c r="Z19" s="25" t="str">
        <f t="shared" ca="1" si="1"/>
        <v/>
      </c>
      <c r="AA19" s="1" t="str">
        <f t="shared" si="2"/>
        <v/>
      </c>
      <c r="AB19" s="17"/>
      <c r="AC19" s="17"/>
      <c r="AD19" s="17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8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9" t="str">
        <f t="shared" si="0"/>
        <v/>
      </c>
      <c r="N20" s="17"/>
      <c r="O20" s="21"/>
      <c r="P20" s="21"/>
      <c r="Q20" s="23"/>
      <c r="R20" s="17"/>
      <c r="S20" s="17"/>
      <c r="T20" s="17"/>
      <c r="U20" s="17"/>
      <c r="V20" s="17"/>
      <c r="W20" s="17"/>
      <c r="X20" s="17"/>
      <c r="Y20" s="17"/>
      <c r="Z20" s="25" t="str">
        <f t="shared" ca="1" si="1"/>
        <v/>
      </c>
      <c r="AA20" s="1" t="str">
        <f t="shared" si="2"/>
        <v/>
      </c>
      <c r="AB20" s="17"/>
      <c r="AC20" s="17"/>
      <c r="AD20" s="17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8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9" t="str">
        <f t="shared" si="0"/>
        <v/>
      </c>
      <c r="N21" s="17"/>
      <c r="O21" s="21"/>
      <c r="P21" s="21"/>
      <c r="Q21" s="23"/>
      <c r="R21" s="17"/>
      <c r="S21" s="17"/>
      <c r="T21" s="17"/>
      <c r="U21" s="17"/>
      <c r="V21" s="17"/>
      <c r="W21" s="17"/>
      <c r="X21" s="17"/>
      <c r="Y21" s="17"/>
      <c r="Z21" s="25" t="str">
        <f t="shared" ca="1" si="1"/>
        <v/>
      </c>
      <c r="AA21" s="1" t="str">
        <f t="shared" si="2"/>
        <v/>
      </c>
      <c r="AB21" s="17"/>
      <c r="AC21" s="17"/>
      <c r="AD21" s="17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8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9" t="str">
        <f t="shared" si="0"/>
        <v/>
      </c>
      <c r="N22" s="17"/>
      <c r="O22" s="21"/>
      <c r="P22" s="21"/>
      <c r="Q22" s="23"/>
      <c r="R22" s="17"/>
      <c r="S22" s="17"/>
      <c r="T22" s="17"/>
      <c r="U22" s="17"/>
      <c r="V22" s="17"/>
      <c r="W22" s="17"/>
      <c r="X22" s="17"/>
      <c r="Y22" s="17"/>
      <c r="Z22" s="25" t="str">
        <f t="shared" ca="1" si="1"/>
        <v/>
      </c>
      <c r="AA22" s="1" t="str">
        <f t="shared" si="2"/>
        <v/>
      </c>
      <c r="AB22" s="17"/>
      <c r="AC22" s="17"/>
      <c r="AD22" s="17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8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9" t="str">
        <f t="shared" si="0"/>
        <v/>
      </c>
      <c r="N23" s="17"/>
      <c r="O23" s="21"/>
      <c r="P23" s="21"/>
      <c r="Q23" s="23"/>
      <c r="R23" s="17"/>
      <c r="S23" s="17"/>
      <c r="T23" s="17"/>
      <c r="U23" s="17"/>
      <c r="V23" s="17"/>
      <c r="W23" s="17"/>
      <c r="X23" s="17"/>
      <c r="Y23" s="17"/>
      <c r="Z23" s="25" t="str">
        <f t="shared" ca="1" si="1"/>
        <v/>
      </c>
      <c r="AA23" s="1" t="str">
        <f t="shared" si="2"/>
        <v/>
      </c>
      <c r="AB23" s="17"/>
      <c r="AC23" s="17"/>
      <c r="AD23" s="17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8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9" t="str">
        <f t="shared" si="0"/>
        <v/>
      </c>
      <c r="N24" s="17"/>
      <c r="O24" s="21"/>
      <c r="P24" s="21"/>
      <c r="Q24" s="23"/>
      <c r="R24" s="17"/>
      <c r="S24" s="17"/>
      <c r="T24" s="17"/>
      <c r="U24" s="17"/>
      <c r="V24" s="17"/>
      <c r="W24" s="17"/>
      <c r="X24" s="17"/>
      <c r="Y24" s="17"/>
      <c r="Z24" s="25" t="str">
        <f t="shared" ca="1" si="1"/>
        <v/>
      </c>
      <c r="AA24" s="1" t="str">
        <f t="shared" si="2"/>
        <v/>
      </c>
      <c r="AB24" s="17"/>
      <c r="AC24" s="17"/>
      <c r="AD24" s="17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8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9" t="str">
        <f t="shared" si="0"/>
        <v/>
      </c>
      <c r="N25" s="17"/>
      <c r="O25" s="21"/>
      <c r="P25" s="21"/>
      <c r="Q25" s="23"/>
      <c r="R25" s="17"/>
      <c r="S25" s="17"/>
      <c r="T25" s="17"/>
      <c r="U25" s="17"/>
      <c r="V25" s="17"/>
      <c r="W25" s="17"/>
      <c r="X25" s="17"/>
      <c r="Y25" s="17"/>
      <c r="Z25" s="25" t="str">
        <f t="shared" ca="1" si="1"/>
        <v/>
      </c>
      <c r="AA25" s="1" t="str">
        <f t="shared" si="2"/>
        <v/>
      </c>
      <c r="AB25" s="17"/>
      <c r="AC25" s="17"/>
      <c r="AD25" s="17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8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9" t="str">
        <f t="shared" si="0"/>
        <v/>
      </c>
      <c r="N26" s="17"/>
      <c r="O26" s="21"/>
      <c r="P26" s="21"/>
      <c r="Q26" s="23"/>
      <c r="R26" s="17"/>
      <c r="S26" s="17"/>
      <c r="T26" s="17"/>
      <c r="U26" s="17"/>
      <c r="V26" s="17"/>
      <c r="W26" s="17"/>
      <c r="X26" s="17"/>
      <c r="Y26" s="17"/>
      <c r="Z26" s="25" t="str">
        <f t="shared" ca="1" si="1"/>
        <v/>
      </c>
      <c r="AA26" s="1" t="str">
        <f t="shared" si="2"/>
        <v/>
      </c>
      <c r="AB26" s="17"/>
      <c r="AC26" s="17"/>
      <c r="AD26" s="17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8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9" t="str">
        <f t="shared" si="0"/>
        <v/>
      </c>
      <c r="N27" s="17"/>
      <c r="O27" s="21"/>
      <c r="P27" s="21"/>
      <c r="Q27" s="23"/>
      <c r="R27" s="17"/>
      <c r="S27" s="17"/>
      <c r="T27" s="17"/>
      <c r="U27" s="17"/>
      <c r="V27" s="17"/>
      <c r="W27" s="17"/>
      <c r="X27" s="17"/>
      <c r="Y27" s="17"/>
      <c r="Z27" s="25" t="str">
        <f t="shared" ca="1" si="1"/>
        <v/>
      </c>
      <c r="AA27" s="1" t="str">
        <f t="shared" si="2"/>
        <v/>
      </c>
      <c r="AB27" s="17"/>
      <c r="AC27" s="17"/>
      <c r="AD27" s="17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8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9" t="str">
        <f t="shared" si="0"/>
        <v/>
      </c>
      <c r="N28" s="17"/>
      <c r="O28" s="21"/>
      <c r="P28" s="21"/>
      <c r="Q28" s="23"/>
      <c r="R28" s="17"/>
      <c r="S28" s="17"/>
      <c r="T28" s="17"/>
      <c r="U28" s="17"/>
      <c r="V28" s="17"/>
      <c r="W28" s="17"/>
      <c r="X28" s="17"/>
      <c r="Y28" s="17"/>
      <c r="Z28" s="25" t="str">
        <f t="shared" ca="1" si="1"/>
        <v/>
      </c>
      <c r="AA28" s="1" t="str">
        <f t="shared" si="2"/>
        <v/>
      </c>
      <c r="AB28" s="17"/>
      <c r="AC28" s="17"/>
      <c r="AD28" s="17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8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9" t="str">
        <f t="shared" si="0"/>
        <v/>
      </c>
      <c r="N29" s="17"/>
      <c r="O29" s="21"/>
      <c r="P29" s="21"/>
      <c r="Q29" s="23"/>
      <c r="R29" s="17"/>
      <c r="S29" s="17"/>
      <c r="T29" s="17"/>
      <c r="U29" s="17"/>
      <c r="V29" s="17"/>
      <c r="W29" s="17"/>
      <c r="X29" s="17"/>
      <c r="Y29" s="17"/>
      <c r="Z29" s="25" t="str">
        <f t="shared" ca="1" si="1"/>
        <v/>
      </c>
      <c r="AA29" s="1" t="str">
        <f t="shared" si="2"/>
        <v/>
      </c>
      <c r="AB29" s="17"/>
      <c r="AC29" s="17"/>
      <c r="AD29" s="17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8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9" t="str">
        <f t="shared" si="0"/>
        <v/>
      </c>
      <c r="N30" s="17"/>
      <c r="O30" s="21"/>
      <c r="P30" s="21"/>
      <c r="Q30" s="23"/>
      <c r="R30" s="17"/>
      <c r="S30" s="17"/>
      <c r="T30" s="17"/>
      <c r="U30" s="17"/>
      <c r="V30" s="17"/>
      <c r="W30" s="17"/>
      <c r="X30" s="17"/>
      <c r="Y30" s="17"/>
      <c r="Z30" s="25" t="str">
        <f t="shared" ca="1" si="1"/>
        <v/>
      </c>
      <c r="AA30" s="1" t="str">
        <f t="shared" si="2"/>
        <v/>
      </c>
      <c r="AB30" s="17"/>
      <c r="AC30" s="17"/>
      <c r="AD30" s="17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8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9" t="str">
        <f t="shared" si="0"/>
        <v/>
      </c>
      <c r="N31" s="17"/>
      <c r="O31" s="21"/>
      <c r="P31" s="21"/>
      <c r="Q31" s="23"/>
      <c r="R31" s="17"/>
      <c r="S31" s="17"/>
      <c r="T31" s="17"/>
      <c r="U31" s="17"/>
      <c r="V31" s="17"/>
      <c r="W31" s="17"/>
      <c r="X31" s="17"/>
      <c r="Y31" s="17"/>
      <c r="Z31" s="25" t="str">
        <f t="shared" ca="1" si="1"/>
        <v/>
      </c>
      <c r="AA31" s="1" t="str">
        <f t="shared" si="2"/>
        <v/>
      </c>
      <c r="AB31" s="17"/>
      <c r="AC31" s="17"/>
      <c r="AD31" s="17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8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9" t="str">
        <f t="shared" si="0"/>
        <v/>
      </c>
      <c r="N32" s="17"/>
      <c r="O32" s="21"/>
      <c r="P32" s="21"/>
      <c r="Q32" s="23"/>
      <c r="R32" s="17"/>
      <c r="S32" s="17"/>
      <c r="T32" s="17"/>
      <c r="U32" s="17"/>
      <c r="V32" s="17"/>
      <c r="W32" s="17"/>
      <c r="X32" s="17"/>
      <c r="Y32" s="17"/>
      <c r="Z32" s="25" t="str">
        <f t="shared" ca="1" si="1"/>
        <v/>
      </c>
      <c r="AA32" s="1" t="str">
        <f t="shared" si="2"/>
        <v/>
      </c>
      <c r="AB32" s="17"/>
      <c r="AC32" s="17"/>
      <c r="AD32" s="17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8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9" t="str">
        <f t="shared" si="0"/>
        <v/>
      </c>
      <c r="N33" s="17"/>
      <c r="O33" s="21"/>
      <c r="P33" s="21"/>
      <c r="Q33" s="23"/>
      <c r="R33" s="17"/>
      <c r="S33" s="17"/>
      <c r="T33" s="17"/>
      <c r="U33" s="17"/>
      <c r="V33" s="17"/>
      <c r="W33" s="17"/>
      <c r="X33" s="17"/>
      <c r="Y33" s="17"/>
      <c r="Z33" s="25" t="str">
        <f t="shared" ca="1" si="1"/>
        <v/>
      </c>
      <c r="AA33" s="1" t="str">
        <f t="shared" si="2"/>
        <v/>
      </c>
      <c r="AB33" s="17"/>
      <c r="AC33" s="17"/>
      <c r="AD33" s="17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8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9" t="str">
        <f t="shared" si="0"/>
        <v/>
      </c>
      <c r="N34" s="17"/>
      <c r="O34" s="21"/>
      <c r="P34" s="21"/>
      <c r="Q34" s="23"/>
      <c r="R34" s="17"/>
      <c r="S34" s="17"/>
      <c r="T34" s="17"/>
      <c r="U34" s="17"/>
      <c r="V34" s="17"/>
      <c r="W34" s="17"/>
      <c r="X34" s="17"/>
      <c r="Y34" s="17"/>
      <c r="Z34" s="25" t="str">
        <f t="shared" ca="1" si="1"/>
        <v/>
      </c>
      <c r="AA34" s="1" t="str">
        <f t="shared" si="2"/>
        <v/>
      </c>
      <c r="AB34" s="17"/>
      <c r="AC34" s="17"/>
      <c r="AD34" s="17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8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9" t="str">
        <f t="shared" si="0"/>
        <v/>
      </c>
      <c r="N35" s="17"/>
      <c r="O35" s="21"/>
      <c r="P35" s="21"/>
      <c r="Q35" s="23"/>
      <c r="R35" s="17"/>
      <c r="S35" s="17"/>
      <c r="T35" s="17"/>
      <c r="U35" s="17"/>
      <c r="V35" s="17"/>
      <c r="W35" s="17"/>
      <c r="X35" s="17"/>
      <c r="Y35" s="17"/>
      <c r="Z35" s="25" t="str">
        <f t="shared" ca="1" si="1"/>
        <v/>
      </c>
      <c r="AA35" s="1" t="str">
        <f t="shared" si="2"/>
        <v/>
      </c>
      <c r="AB35" s="17"/>
      <c r="AC35" s="17"/>
      <c r="AD35" s="17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8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9" t="str">
        <f t="shared" si="0"/>
        <v/>
      </c>
      <c r="N36" s="17"/>
      <c r="O36" s="21"/>
      <c r="P36" s="21"/>
      <c r="Q36" s="23"/>
      <c r="R36" s="17"/>
      <c r="S36" s="17"/>
      <c r="T36" s="17"/>
      <c r="U36" s="17"/>
      <c r="V36" s="17"/>
      <c r="W36" s="17"/>
      <c r="X36" s="17"/>
      <c r="Y36" s="17"/>
      <c r="Z36" s="25" t="str">
        <f t="shared" ca="1" si="1"/>
        <v/>
      </c>
      <c r="AA36" s="1" t="str">
        <f t="shared" si="2"/>
        <v/>
      </c>
      <c r="AB36" s="17"/>
      <c r="AC36" s="17"/>
      <c r="AD36" s="17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8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9" t="str">
        <f t="shared" si="0"/>
        <v/>
      </c>
      <c r="N37" s="17"/>
      <c r="O37" s="21"/>
      <c r="P37" s="21"/>
      <c r="Q37" s="23"/>
      <c r="R37" s="17"/>
      <c r="S37" s="17"/>
      <c r="T37" s="17"/>
      <c r="U37" s="17"/>
      <c r="V37" s="17"/>
      <c r="W37" s="17"/>
      <c r="X37" s="17"/>
      <c r="Y37" s="17"/>
      <c r="Z37" s="25" t="str">
        <f t="shared" ca="1" si="1"/>
        <v/>
      </c>
      <c r="AA37" s="1" t="str">
        <f t="shared" si="2"/>
        <v/>
      </c>
      <c r="AB37" s="17"/>
      <c r="AC37" s="17"/>
      <c r="AD37" s="17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8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9" t="str">
        <f t="shared" si="0"/>
        <v/>
      </c>
      <c r="N38" s="17"/>
      <c r="O38" s="21"/>
      <c r="P38" s="21"/>
      <c r="Q38" s="23"/>
      <c r="R38" s="17"/>
      <c r="S38" s="17"/>
      <c r="T38" s="17"/>
      <c r="U38" s="17"/>
      <c r="V38" s="17"/>
      <c r="W38" s="17"/>
      <c r="X38" s="17"/>
      <c r="Y38" s="17"/>
      <c r="Z38" s="25" t="str">
        <f t="shared" ca="1" si="1"/>
        <v/>
      </c>
      <c r="AA38" s="1" t="str">
        <f t="shared" si="2"/>
        <v/>
      </c>
      <c r="AB38" s="17"/>
      <c r="AC38" s="17"/>
      <c r="AD38" s="17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8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9" t="str">
        <f t="shared" ref="M39:M70" si="3">IF(OR(K39="",K39=0,L39=""),"",L39/K39)</f>
        <v/>
      </c>
      <c r="N39" s="17"/>
      <c r="O39" s="21"/>
      <c r="P39" s="21"/>
      <c r="Q39" s="23"/>
      <c r="R39" s="17"/>
      <c r="S39" s="17"/>
      <c r="T39" s="17"/>
      <c r="U39" s="17"/>
      <c r="V39" s="17"/>
      <c r="W39" s="17"/>
      <c r="X39" s="17"/>
      <c r="Y39" s="17"/>
      <c r="Z39" s="25" t="str">
        <f t="shared" ref="Z39:Z70" ca="1" si="4">IF(P39="","",P39-TODAY())</f>
        <v/>
      </c>
      <c r="AA39" s="1" t="str">
        <f t="shared" ref="AA39:AA70" si="5">IF(P39="","",IF(Y39&lt;&gt;"Active","Inactive",IF(Z39&lt;0,"Expired",IF(Z39&lt;=30,"Due within 30 days",IF(Z39&lt;=60,"Due in 31-60 days",IF(Z39&lt;=90,"Due in 61-90 days","Later"))))))</f>
        <v/>
      </c>
      <c r="AB39" s="17"/>
      <c r="AC39" s="17"/>
      <c r="AD39" s="17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8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9" t="str">
        <f t="shared" si="3"/>
        <v/>
      </c>
      <c r="N40" s="17"/>
      <c r="O40" s="21"/>
      <c r="P40" s="21"/>
      <c r="Q40" s="23"/>
      <c r="R40" s="17"/>
      <c r="S40" s="17"/>
      <c r="T40" s="17"/>
      <c r="U40" s="17"/>
      <c r="V40" s="17"/>
      <c r="W40" s="17"/>
      <c r="X40" s="17"/>
      <c r="Y40" s="17"/>
      <c r="Z40" s="25" t="str">
        <f t="shared" ca="1" si="4"/>
        <v/>
      </c>
      <c r="AA40" s="1" t="str">
        <f t="shared" si="5"/>
        <v/>
      </c>
      <c r="AB40" s="17"/>
      <c r="AC40" s="17"/>
      <c r="AD40" s="17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8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9" t="str">
        <f t="shared" si="3"/>
        <v/>
      </c>
      <c r="N41" s="17"/>
      <c r="O41" s="21"/>
      <c r="P41" s="21"/>
      <c r="Q41" s="23"/>
      <c r="R41" s="17"/>
      <c r="S41" s="17"/>
      <c r="T41" s="17"/>
      <c r="U41" s="17"/>
      <c r="V41" s="17"/>
      <c r="W41" s="17"/>
      <c r="X41" s="17"/>
      <c r="Y41" s="17"/>
      <c r="Z41" s="25" t="str">
        <f t="shared" ca="1" si="4"/>
        <v/>
      </c>
      <c r="AA41" s="1" t="str">
        <f t="shared" si="5"/>
        <v/>
      </c>
      <c r="AB41" s="17"/>
      <c r="AC41" s="17"/>
      <c r="AD41" s="17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8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9" t="str">
        <f t="shared" si="3"/>
        <v/>
      </c>
      <c r="N42" s="17"/>
      <c r="O42" s="21"/>
      <c r="P42" s="21"/>
      <c r="Q42" s="23"/>
      <c r="R42" s="17"/>
      <c r="S42" s="17"/>
      <c r="T42" s="17"/>
      <c r="U42" s="17"/>
      <c r="V42" s="17"/>
      <c r="W42" s="17"/>
      <c r="X42" s="17"/>
      <c r="Y42" s="17"/>
      <c r="Z42" s="25" t="str">
        <f t="shared" ca="1" si="4"/>
        <v/>
      </c>
      <c r="AA42" s="1" t="str">
        <f t="shared" si="5"/>
        <v/>
      </c>
      <c r="AB42" s="17"/>
      <c r="AC42" s="17"/>
      <c r="AD42" s="17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8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9" t="str">
        <f t="shared" si="3"/>
        <v/>
      </c>
      <c r="N43" s="17"/>
      <c r="O43" s="21"/>
      <c r="P43" s="21"/>
      <c r="Q43" s="23"/>
      <c r="R43" s="17"/>
      <c r="S43" s="17"/>
      <c r="T43" s="17"/>
      <c r="U43" s="17"/>
      <c r="V43" s="17"/>
      <c r="W43" s="17"/>
      <c r="X43" s="17"/>
      <c r="Y43" s="17"/>
      <c r="Z43" s="25" t="str">
        <f t="shared" ca="1" si="4"/>
        <v/>
      </c>
      <c r="AA43" s="1" t="str">
        <f t="shared" si="5"/>
        <v/>
      </c>
      <c r="AB43" s="17"/>
      <c r="AC43" s="17"/>
      <c r="AD43" s="17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8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9" t="str">
        <f t="shared" si="3"/>
        <v/>
      </c>
      <c r="N44" s="17"/>
      <c r="O44" s="21"/>
      <c r="P44" s="21"/>
      <c r="Q44" s="23"/>
      <c r="R44" s="17"/>
      <c r="S44" s="17"/>
      <c r="T44" s="17"/>
      <c r="U44" s="17"/>
      <c r="V44" s="17"/>
      <c r="W44" s="17"/>
      <c r="X44" s="17"/>
      <c r="Y44" s="17"/>
      <c r="Z44" s="25" t="str">
        <f t="shared" ca="1" si="4"/>
        <v/>
      </c>
      <c r="AA44" s="1" t="str">
        <f t="shared" si="5"/>
        <v/>
      </c>
      <c r="AB44" s="17"/>
      <c r="AC44" s="17"/>
      <c r="AD44" s="17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8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9" t="str">
        <f t="shared" si="3"/>
        <v/>
      </c>
      <c r="N45" s="17"/>
      <c r="O45" s="21"/>
      <c r="P45" s="21"/>
      <c r="Q45" s="23"/>
      <c r="R45" s="17"/>
      <c r="S45" s="17"/>
      <c r="T45" s="17"/>
      <c r="U45" s="17"/>
      <c r="V45" s="17"/>
      <c r="W45" s="17"/>
      <c r="X45" s="17"/>
      <c r="Y45" s="17"/>
      <c r="Z45" s="25" t="str">
        <f t="shared" ca="1" si="4"/>
        <v/>
      </c>
      <c r="AA45" s="1" t="str">
        <f t="shared" si="5"/>
        <v/>
      </c>
      <c r="AB45" s="17"/>
      <c r="AC45" s="17"/>
      <c r="AD45" s="17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8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9" t="str">
        <f t="shared" si="3"/>
        <v/>
      </c>
      <c r="N46" s="17"/>
      <c r="O46" s="21"/>
      <c r="P46" s="21"/>
      <c r="Q46" s="23"/>
      <c r="R46" s="17"/>
      <c r="S46" s="17"/>
      <c r="T46" s="17"/>
      <c r="U46" s="17"/>
      <c r="V46" s="17"/>
      <c r="W46" s="17"/>
      <c r="X46" s="17"/>
      <c r="Y46" s="17"/>
      <c r="Z46" s="25" t="str">
        <f t="shared" ca="1" si="4"/>
        <v/>
      </c>
      <c r="AA46" s="1" t="str">
        <f t="shared" si="5"/>
        <v/>
      </c>
      <c r="AB46" s="17"/>
      <c r="AC46" s="17"/>
      <c r="AD46" s="17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8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9" t="str">
        <f t="shared" si="3"/>
        <v/>
      </c>
      <c r="N47" s="17"/>
      <c r="O47" s="21"/>
      <c r="P47" s="21"/>
      <c r="Q47" s="23"/>
      <c r="R47" s="17"/>
      <c r="S47" s="17"/>
      <c r="T47" s="17"/>
      <c r="U47" s="17"/>
      <c r="V47" s="17"/>
      <c r="W47" s="17"/>
      <c r="X47" s="17"/>
      <c r="Y47" s="17"/>
      <c r="Z47" s="25" t="str">
        <f t="shared" ca="1" si="4"/>
        <v/>
      </c>
      <c r="AA47" s="1" t="str">
        <f t="shared" si="5"/>
        <v/>
      </c>
      <c r="AB47" s="17"/>
      <c r="AC47" s="17"/>
      <c r="AD47" s="17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8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9" t="str">
        <f t="shared" si="3"/>
        <v/>
      </c>
      <c r="N48" s="17"/>
      <c r="O48" s="21"/>
      <c r="P48" s="21"/>
      <c r="Q48" s="23"/>
      <c r="R48" s="17"/>
      <c r="S48" s="17"/>
      <c r="T48" s="17"/>
      <c r="U48" s="17"/>
      <c r="V48" s="17"/>
      <c r="W48" s="17"/>
      <c r="X48" s="17"/>
      <c r="Y48" s="17"/>
      <c r="Z48" s="25" t="str">
        <f t="shared" ca="1" si="4"/>
        <v/>
      </c>
      <c r="AA48" s="1" t="str">
        <f t="shared" si="5"/>
        <v/>
      </c>
      <c r="AB48" s="17"/>
      <c r="AC48" s="17"/>
      <c r="AD48" s="17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8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9" t="str">
        <f t="shared" si="3"/>
        <v/>
      </c>
      <c r="N49" s="17"/>
      <c r="O49" s="21"/>
      <c r="P49" s="21"/>
      <c r="Q49" s="23"/>
      <c r="R49" s="17"/>
      <c r="S49" s="17"/>
      <c r="T49" s="17"/>
      <c r="U49" s="17"/>
      <c r="V49" s="17"/>
      <c r="W49" s="17"/>
      <c r="X49" s="17"/>
      <c r="Y49" s="17"/>
      <c r="Z49" s="25" t="str">
        <f t="shared" ca="1" si="4"/>
        <v/>
      </c>
      <c r="AA49" s="1" t="str">
        <f t="shared" si="5"/>
        <v/>
      </c>
      <c r="AB49" s="17"/>
      <c r="AC49" s="17"/>
      <c r="AD49" s="17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8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9" t="str">
        <f t="shared" si="3"/>
        <v/>
      </c>
      <c r="N50" s="17"/>
      <c r="O50" s="21"/>
      <c r="P50" s="21"/>
      <c r="Q50" s="23"/>
      <c r="R50" s="17"/>
      <c r="S50" s="17"/>
      <c r="T50" s="17"/>
      <c r="U50" s="17"/>
      <c r="V50" s="17"/>
      <c r="W50" s="17"/>
      <c r="X50" s="17"/>
      <c r="Y50" s="17"/>
      <c r="Z50" s="25" t="str">
        <f t="shared" ca="1" si="4"/>
        <v/>
      </c>
      <c r="AA50" s="1" t="str">
        <f t="shared" si="5"/>
        <v/>
      </c>
      <c r="AB50" s="17"/>
      <c r="AC50" s="17"/>
      <c r="AD50" s="17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8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9" t="str">
        <f t="shared" si="3"/>
        <v/>
      </c>
      <c r="N51" s="17"/>
      <c r="O51" s="21"/>
      <c r="P51" s="21"/>
      <c r="Q51" s="23"/>
      <c r="R51" s="17"/>
      <c r="S51" s="17"/>
      <c r="T51" s="17"/>
      <c r="U51" s="17"/>
      <c r="V51" s="17"/>
      <c r="W51" s="17"/>
      <c r="X51" s="17"/>
      <c r="Y51" s="17"/>
      <c r="Z51" s="25" t="str">
        <f t="shared" ca="1" si="4"/>
        <v/>
      </c>
      <c r="AA51" s="1" t="str">
        <f t="shared" si="5"/>
        <v/>
      </c>
      <c r="AB51" s="17"/>
      <c r="AC51" s="17"/>
      <c r="AD51" s="17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8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9" t="str">
        <f t="shared" si="3"/>
        <v/>
      </c>
      <c r="N52" s="17"/>
      <c r="O52" s="21"/>
      <c r="P52" s="21"/>
      <c r="Q52" s="23"/>
      <c r="R52" s="17"/>
      <c r="S52" s="17"/>
      <c r="T52" s="17"/>
      <c r="U52" s="17"/>
      <c r="V52" s="17"/>
      <c r="W52" s="17"/>
      <c r="X52" s="17"/>
      <c r="Y52" s="17"/>
      <c r="Z52" s="25" t="str">
        <f t="shared" ca="1" si="4"/>
        <v/>
      </c>
      <c r="AA52" s="1" t="str">
        <f t="shared" si="5"/>
        <v/>
      </c>
      <c r="AB52" s="17"/>
      <c r="AC52" s="17"/>
      <c r="AD52" s="17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8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9" t="str">
        <f t="shared" si="3"/>
        <v/>
      </c>
      <c r="N53" s="17"/>
      <c r="O53" s="21"/>
      <c r="P53" s="21"/>
      <c r="Q53" s="23"/>
      <c r="R53" s="17"/>
      <c r="S53" s="17"/>
      <c r="T53" s="17"/>
      <c r="U53" s="17"/>
      <c r="V53" s="17"/>
      <c r="W53" s="17"/>
      <c r="X53" s="17"/>
      <c r="Y53" s="17"/>
      <c r="Z53" s="25" t="str">
        <f t="shared" ca="1" si="4"/>
        <v/>
      </c>
      <c r="AA53" s="1" t="str">
        <f t="shared" si="5"/>
        <v/>
      </c>
      <c r="AB53" s="17"/>
      <c r="AC53" s="17"/>
      <c r="AD53" s="17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8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9" t="str">
        <f t="shared" si="3"/>
        <v/>
      </c>
      <c r="N54" s="17"/>
      <c r="O54" s="21"/>
      <c r="P54" s="21"/>
      <c r="Q54" s="23"/>
      <c r="R54" s="17"/>
      <c r="S54" s="17"/>
      <c r="T54" s="17"/>
      <c r="U54" s="17"/>
      <c r="V54" s="17"/>
      <c r="W54" s="17"/>
      <c r="X54" s="17"/>
      <c r="Y54" s="17"/>
      <c r="Z54" s="25" t="str">
        <f t="shared" ca="1" si="4"/>
        <v/>
      </c>
      <c r="AA54" s="1" t="str">
        <f t="shared" si="5"/>
        <v/>
      </c>
      <c r="AB54" s="17"/>
      <c r="AC54" s="17"/>
      <c r="AD54" s="17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8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9" t="str">
        <f t="shared" si="3"/>
        <v/>
      </c>
      <c r="N55" s="17"/>
      <c r="O55" s="21"/>
      <c r="P55" s="21"/>
      <c r="Q55" s="23"/>
      <c r="R55" s="17"/>
      <c r="S55" s="17"/>
      <c r="T55" s="17"/>
      <c r="U55" s="17"/>
      <c r="V55" s="17"/>
      <c r="W55" s="17"/>
      <c r="X55" s="17"/>
      <c r="Y55" s="17"/>
      <c r="Z55" s="25" t="str">
        <f t="shared" ca="1" si="4"/>
        <v/>
      </c>
      <c r="AA55" s="1" t="str">
        <f t="shared" si="5"/>
        <v/>
      </c>
      <c r="AB55" s="17"/>
      <c r="AC55" s="17"/>
      <c r="AD55" s="17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8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9" t="str">
        <f t="shared" si="3"/>
        <v/>
      </c>
      <c r="N56" s="17"/>
      <c r="O56" s="21"/>
      <c r="P56" s="21"/>
      <c r="Q56" s="23"/>
      <c r="R56" s="17"/>
      <c r="S56" s="17"/>
      <c r="T56" s="17"/>
      <c r="U56" s="17"/>
      <c r="V56" s="17"/>
      <c r="W56" s="17"/>
      <c r="X56" s="17"/>
      <c r="Y56" s="17"/>
      <c r="Z56" s="25" t="str">
        <f t="shared" ca="1" si="4"/>
        <v/>
      </c>
      <c r="AA56" s="1" t="str">
        <f t="shared" si="5"/>
        <v/>
      </c>
      <c r="AB56" s="17"/>
      <c r="AC56" s="17"/>
      <c r="AD56" s="17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8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9" t="str">
        <f t="shared" si="3"/>
        <v/>
      </c>
      <c r="N57" s="17"/>
      <c r="O57" s="21"/>
      <c r="P57" s="21"/>
      <c r="Q57" s="23"/>
      <c r="R57" s="17"/>
      <c r="S57" s="17"/>
      <c r="T57" s="17"/>
      <c r="U57" s="17"/>
      <c r="V57" s="17"/>
      <c r="W57" s="17"/>
      <c r="X57" s="17"/>
      <c r="Y57" s="17"/>
      <c r="Z57" s="25" t="str">
        <f t="shared" ca="1" si="4"/>
        <v/>
      </c>
      <c r="AA57" s="1" t="str">
        <f t="shared" si="5"/>
        <v/>
      </c>
      <c r="AB57" s="17"/>
      <c r="AC57" s="17"/>
      <c r="AD57" s="17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8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9" t="str">
        <f t="shared" si="3"/>
        <v/>
      </c>
      <c r="N58" s="17"/>
      <c r="O58" s="21"/>
      <c r="P58" s="21"/>
      <c r="Q58" s="23"/>
      <c r="R58" s="17"/>
      <c r="S58" s="17"/>
      <c r="T58" s="17"/>
      <c r="U58" s="17"/>
      <c r="V58" s="17"/>
      <c r="W58" s="17"/>
      <c r="X58" s="17"/>
      <c r="Y58" s="17"/>
      <c r="Z58" s="25" t="str">
        <f t="shared" ca="1" si="4"/>
        <v/>
      </c>
      <c r="AA58" s="1" t="str">
        <f t="shared" si="5"/>
        <v/>
      </c>
      <c r="AB58" s="17"/>
      <c r="AC58" s="17"/>
      <c r="AD58" s="17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8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9" t="str">
        <f t="shared" si="3"/>
        <v/>
      </c>
      <c r="N59" s="17"/>
      <c r="O59" s="21"/>
      <c r="P59" s="21"/>
      <c r="Q59" s="23"/>
      <c r="R59" s="17"/>
      <c r="S59" s="17"/>
      <c r="T59" s="17"/>
      <c r="U59" s="17"/>
      <c r="V59" s="17"/>
      <c r="W59" s="17"/>
      <c r="X59" s="17"/>
      <c r="Y59" s="17"/>
      <c r="Z59" s="25" t="str">
        <f t="shared" ca="1" si="4"/>
        <v/>
      </c>
      <c r="AA59" s="1" t="str">
        <f t="shared" si="5"/>
        <v/>
      </c>
      <c r="AB59" s="17"/>
      <c r="AC59" s="17"/>
      <c r="AD59" s="17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8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9" t="str">
        <f t="shared" si="3"/>
        <v/>
      </c>
      <c r="N60" s="17"/>
      <c r="O60" s="21"/>
      <c r="P60" s="21"/>
      <c r="Q60" s="23"/>
      <c r="R60" s="17"/>
      <c r="S60" s="17"/>
      <c r="T60" s="17"/>
      <c r="U60" s="17"/>
      <c r="V60" s="17"/>
      <c r="W60" s="17"/>
      <c r="X60" s="17"/>
      <c r="Y60" s="17"/>
      <c r="Z60" s="25" t="str">
        <f t="shared" ca="1" si="4"/>
        <v/>
      </c>
      <c r="AA60" s="1" t="str">
        <f t="shared" si="5"/>
        <v/>
      </c>
      <c r="AB60" s="17"/>
      <c r="AC60" s="17"/>
      <c r="AD60" s="17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8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9" t="str">
        <f t="shared" si="3"/>
        <v/>
      </c>
      <c r="N61" s="17"/>
      <c r="O61" s="21"/>
      <c r="P61" s="21"/>
      <c r="Q61" s="23"/>
      <c r="R61" s="17"/>
      <c r="S61" s="17"/>
      <c r="T61" s="17"/>
      <c r="U61" s="17"/>
      <c r="V61" s="17"/>
      <c r="W61" s="17"/>
      <c r="X61" s="17"/>
      <c r="Y61" s="17"/>
      <c r="Z61" s="25" t="str">
        <f t="shared" ca="1" si="4"/>
        <v/>
      </c>
      <c r="AA61" s="1" t="str">
        <f t="shared" si="5"/>
        <v/>
      </c>
      <c r="AB61" s="17"/>
      <c r="AC61" s="17"/>
      <c r="AD61" s="17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8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9" t="str">
        <f t="shared" si="3"/>
        <v/>
      </c>
      <c r="N62" s="17"/>
      <c r="O62" s="21"/>
      <c r="P62" s="21"/>
      <c r="Q62" s="23"/>
      <c r="R62" s="17"/>
      <c r="S62" s="17"/>
      <c r="T62" s="17"/>
      <c r="U62" s="17"/>
      <c r="V62" s="17"/>
      <c r="W62" s="17"/>
      <c r="X62" s="17"/>
      <c r="Y62" s="17"/>
      <c r="Z62" s="25" t="str">
        <f t="shared" ca="1" si="4"/>
        <v/>
      </c>
      <c r="AA62" s="1" t="str">
        <f t="shared" si="5"/>
        <v/>
      </c>
      <c r="AB62" s="17"/>
      <c r="AC62" s="17"/>
      <c r="AD62" s="17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8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9" t="str">
        <f t="shared" si="3"/>
        <v/>
      </c>
      <c r="N63" s="17"/>
      <c r="O63" s="21"/>
      <c r="P63" s="21"/>
      <c r="Q63" s="23"/>
      <c r="R63" s="17"/>
      <c r="S63" s="17"/>
      <c r="T63" s="17"/>
      <c r="U63" s="17"/>
      <c r="V63" s="17"/>
      <c r="W63" s="17"/>
      <c r="X63" s="17"/>
      <c r="Y63" s="17"/>
      <c r="Z63" s="25" t="str">
        <f t="shared" ca="1" si="4"/>
        <v/>
      </c>
      <c r="AA63" s="1" t="str">
        <f t="shared" si="5"/>
        <v/>
      </c>
      <c r="AB63" s="17"/>
      <c r="AC63" s="17"/>
      <c r="AD63" s="17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8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9" t="str">
        <f t="shared" si="3"/>
        <v/>
      </c>
      <c r="N64" s="17"/>
      <c r="O64" s="21"/>
      <c r="P64" s="21"/>
      <c r="Q64" s="23"/>
      <c r="R64" s="17"/>
      <c r="S64" s="17"/>
      <c r="T64" s="17"/>
      <c r="U64" s="17"/>
      <c r="V64" s="17"/>
      <c r="W64" s="17"/>
      <c r="X64" s="17"/>
      <c r="Y64" s="17"/>
      <c r="Z64" s="25" t="str">
        <f t="shared" ca="1" si="4"/>
        <v/>
      </c>
      <c r="AA64" s="1" t="str">
        <f t="shared" si="5"/>
        <v/>
      </c>
      <c r="AB64" s="17"/>
      <c r="AC64" s="17"/>
      <c r="AD64" s="17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8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9" t="str">
        <f t="shared" si="3"/>
        <v/>
      </c>
      <c r="N65" s="17"/>
      <c r="O65" s="21"/>
      <c r="P65" s="21"/>
      <c r="Q65" s="23"/>
      <c r="R65" s="17"/>
      <c r="S65" s="17"/>
      <c r="T65" s="17"/>
      <c r="U65" s="17"/>
      <c r="V65" s="17"/>
      <c r="W65" s="17"/>
      <c r="X65" s="17"/>
      <c r="Y65" s="17"/>
      <c r="Z65" s="25" t="str">
        <f t="shared" ca="1" si="4"/>
        <v/>
      </c>
      <c r="AA65" s="1" t="str">
        <f t="shared" si="5"/>
        <v/>
      </c>
      <c r="AB65" s="17"/>
      <c r="AC65" s="17"/>
      <c r="AD65" s="17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8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9" t="str">
        <f t="shared" si="3"/>
        <v/>
      </c>
      <c r="N66" s="17"/>
      <c r="O66" s="21"/>
      <c r="P66" s="21"/>
      <c r="Q66" s="23"/>
      <c r="R66" s="17"/>
      <c r="S66" s="17"/>
      <c r="T66" s="17"/>
      <c r="U66" s="17"/>
      <c r="V66" s="17"/>
      <c r="W66" s="17"/>
      <c r="X66" s="17"/>
      <c r="Y66" s="17"/>
      <c r="Z66" s="25" t="str">
        <f t="shared" ca="1" si="4"/>
        <v/>
      </c>
      <c r="AA66" s="1" t="str">
        <f t="shared" si="5"/>
        <v/>
      </c>
      <c r="AB66" s="17"/>
      <c r="AC66" s="17"/>
      <c r="AD66" s="17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8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9" t="str">
        <f t="shared" si="3"/>
        <v/>
      </c>
      <c r="N67" s="17"/>
      <c r="O67" s="21"/>
      <c r="P67" s="21"/>
      <c r="Q67" s="23"/>
      <c r="R67" s="17"/>
      <c r="S67" s="17"/>
      <c r="T67" s="17"/>
      <c r="U67" s="17"/>
      <c r="V67" s="17"/>
      <c r="W67" s="17"/>
      <c r="X67" s="17"/>
      <c r="Y67" s="17"/>
      <c r="Z67" s="25" t="str">
        <f t="shared" ca="1" si="4"/>
        <v/>
      </c>
      <c r="AA67" s="1" t="str">
        <f t="shared" si="5"/>
        <v/>
      </c>
      <c r="AB67" s="17"/>
      <c r="AC67" s="17"/>
      <c r="AD67" s="17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8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9" t="str">
        <f t="shared" si="3"/>
        <v/>
      </c>
      <c r="N68" s="17"/>
      <c r="O68" s="21"/>
      <c r="P68" s="21"/>
      <c r="Q68" s="23"/>
      <c r="R68" s="17"/>
      <c r="S68" s="17"/>
      <c r="T68" s="17"/>
      <c r="U68" s="17"/>
      <c r="V68" s="17"/>
      <c r="W68" s="17"/>
      <c r="X68" s="17"/>
      <c r="Y68" s="17"/>
      <c r="Z68" s="25" t="str">
        <f t="shared" ca="1" si="4"/>
        <v/>
      </c>
      <c r="AA68" s="1" t="str">
        <f t="shared" si="5"/>
        <v/>
      </c>
      <c r="AB68" s="17"/>
      <c r="AC68" s="17"/>
      <c r="AD68" s="17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8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9" t="str">
        <f t="shared" si="3"/>
        <v/>
      </c>
      <c r="N69" s="17"/>
      <c r="O69" s="21"/>
      <c r="P69" s="21"/>
      <c r="Q69" s="23"/>
      <c r="R69" s="17"/>
      <c r="S69" s="17"/>
      <c r="T69" s="17"/>
      <c r="U69" s="17"/>
      <c r="V69" s="17"/>
      <c r="W69" s="17"/>
      <c r="X69" s="17"/>
      <c r="Y69" s="17"/>
      <c r="Z69" s="25" t="str">
        <f t="shared" ca="1" si="4"/>
        <v/>
      </c>
      <c r="AA69" s="1" t="str">
        <f t="shared" si="5"/>
        <v/>
      </c>
      <c r="AB69" s="17"/>
      <c r="AC69" s="17"/>
      <c r="AD69" s="17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8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9" t="str">
        <f t="shared" si="3"/>
        <v/>
      </c>
      <c r="N70" s="17"/>
      <c r="O70" s="21"/>
      <c r="P70" s="21"/>
      <c r="Q70" s="23"/>
      <c r="R70" s="17"/>
      <c r="S70" s="17"/>
      <c r="T70" s="17"/>
      <c r="U70" s="17"/>
      <c r="V70" s="17"/>
      <c r="W70" s="17"/>
      <c r="X70" s="17"/>
      <c r="Y70" s="17"/>
      <c r="Z70" s="25" t="str">
        <f t="shared" ca="1" si="4"/>
        <v/>
      </c>
      <c r="AA70" s="1" t="str">
        <f t="shared" si="5"/>
        <v/>
      </c>
      <c r="AB70" s="17"/>
      <c r="AC70" s="17"/>
      <c r="AD70" s="17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8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9" t="str">
        <f t="shared" ref="M71:M102" si="6">IF(OR(K71="",K71=0,L71=""),"",L71/K71)</f>
        <v/>
      </c>
      <c r="N71" s="17"/>
      <c r="O71" s="21"/>
      <c r="P71" s="21"/>
      <c r="Q71" s="23"/>
      <c r="R71" s="17"/>
      <c r="S71" s="17"/>
      <c r="T71" s="17"/>
      <c r="U71" s="17"/>
      <c r="V71" s="17"/>
      <c r="W71" s="17"/>
      <c r="X71" s="17"/>
      <c r="Y71" s="17"/>
      <c r="Z71" s="25" t="str">
        <f t="shared" ref="Z71:Z102" ca="1" si="7">IF(P71="","",P71-TODAY())</f>
        <v/>
      </c>
      <c r="AA71" s="1" t="str">
        <f t="shared" ref="AA71:AA102" si="8">IF(P71="","",IF(Y71&lt;&gt;"Active","Inactive",IF(Z71&lt;0,"Expired",IF(Z71&lt;=30,"Due within 30 days",IF(Z71&lt;=60,"Due in 31-60 days",IF(Z71&lt;=90,"Due in 61-90 days","Later"))))))</f>
        <v/>
      </c>
      <c r="AB71" s="17"/>
      <c r="AC71" s="17"/>
      <c r="AD71" s="17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8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9" t="str">
        <f t="shared" si="6"/>
        <v/>
      </c>
      <c r="N72" s="17"/>
      <c r="O72" s="21"/>
      <c r="P72" s="21"/>
      <c r="Q72" s="23"/>
      <c r="R72" s="17"/>
      <c r="S72" s="17"/>
      <c r="T72" s="17"/>
      <c r="U72" s="17"/>
      <c r="V72" s="17"/>
      <c r="W72" s="17"/>
      <c r="X72" s="17"/>
      <c r="Y72" s="17"/>
      <c r="Z72" s="25" t="str">
        <f t="shared" ca="1" si="7"/>
        <v/>
      </c>
      <c r="AA72" s="1" t="str">
        <f t="shared" si="8"/>
        <v/>
      </c>
      <c r="AB72" s="17"/>
      <c r="AC72" s="17"/>
      <c r="AD72" s="17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9" t="str">
        <f t="shared" si="6"/>
        <v/>
      </c>
      <c r="N73" s="17"/>
      <c r="O73" s="21"/>
      <c r="P73" s="21"/>
      <c r="Q73" s="23"/>
      <c r="R73" s="17"/>
      <c r="S73" s="17"/>
      <c r="T73" s="17"/>
      <c r="U73" s="17"/>
      <c r="V73" s="17"/>
      <c r="W73" s="17"/>
      <c r="X73" s="17"/>
      <c r="Y73" s="17"/>
      <c r="Z73" s="25" t="str">
        <f t="shared" ca="1" si="7"/>
        <v/>
      </c>
      <c r="AA73" s="1" t="str">
        <f t="shared" si="8"/>
        <v/>
      </c>
      <c r="AB73" s="17"/>
      <c r="AC73" s="17"/>
      <c r="AD73" s="17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9" t="str">
        <f t="shared" si="6"/>
        <v/>
      </c>
      <c r="N74" s="17"/>
      <c r="O74" s="21"/>
      <c r="P74" s="21"/>
      <c r="Q74" s="23"/>
      <c r="R74" s="17"/>
      <c r="S74" s="17"/>
      <c r="T74" s="17"/>
      <c r="U74" s="17"/>
      <c r="V74" s="17"/>
      <c r="W74" s="17"/>
      <c r="X74" s="17"/>
      <c r="Y74" s="17"/>
      <c r="Z74" s="25" t="str">
        <f t="shared" ca="1" si="7"/>
        <v/>
      </c>
      <c r="AA74" s="1" t="str">
        <f t="shared" si="8"/>
        <v/>
      </c>
      <c r="AB74" s="17"/>
      <c r="AC74" s="17"/>
      <c r="AD74" s="17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9" t="str">
        <f t="shared" si="6"/>
        <v/>
      </c>
      <c r="N75" s="17"/>
      <c r="O75" s="21"/>
      <c r="P75" s="21"/>
      <c r="Q75" s="23"/>
      <c r="R75" s="17"/>
      <c r="S75" s="17"/>
      <c r="T75" s="17"/>
      <c r="U75" s="17"/>
      <c r="V75" s="17"/>
      <c r="W75" s="17"/>
      <c r="X75" s="17"/>
      <c r="Y75" s="17"/>
      <c r="Z75" s="25" t="str">
        <f t="shared" ca="1" si="7"/>
        <v/>
      </c>
      <c r="AA75" s="1" t="str">
        <f t="shared" si="8"/>
        <v/>
      </c>
      <c r="AB75" s="17"/>
      <c r="AC75" s="17"/>
      <c r="AD75" s="17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9" t="str">
        <f t="shared" si="6"/>
        <v/>
      </c>
      <c r="N76" s="17"/>
      <c r="O76" s="21"/>
      <c r="P76" s="21"/>
      <c r="Q76" s="23"/>
      <c r="R76" s="17"/>
      <c r="S76" s="17"/>
      <c r="T76" s="17"/>
      <c r="U76" s="17"/>
      <c r="V76" s="17"/>
      <c r="W76" s="17"/>
      <c r="X76" s="17"/>
      <c r="Y76" s="17"/>
      <c r="Z76" s="25" t="str">
        <f t="shared" ca="1" si="7"/>
        <v/>
      </c>
      <c r="AA76" s="1" t="str">
        <f t="shared" si="8"/>
        <v/>
      </c>
      <c r="AB76" s="17"/>
      <c r="AC76" s="17"/>
      <c r="AD76" s="17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9" t="str">
        <f t="shared" si="6"/>
        <v/>
      </c>
      <c r="N77" s="17"/>
      <c r="O77" s="21"/>
      <c r="P77" s="21"/>
      <c r="Q77" s="23"/>
      <c r="R77" s="17"/>
      <c r="S77" s="17"/>
      <c r="T77" s="17"/>
      <c r="U77" s="17"/>
      <c r="V77" s="17"/>
      <c r="W77" s="17"/>
      <c r="X77" s="17"/>
      <c r="Y77" s="17"/>
      <c r="Z77" s="25" t="str">
        <f t="shared" ca="1" si="7"/>
        <v/>
      </c>
      <c r="AA77" s="1" t="str">
        <f t="shared" si="8"/>
        <v/>
      </c>
      <c r="AB77" s="17"/>
      <c r="AC77" s="17"/>
      <c r="AD77" s="17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9" t="str">
        <f t="shared" si="6"/>
        <v/>
      </c>
      <c r="N78" s="17"/>
      <c r="O78" s="21"/>
      <c r="P78" s="21"/>
      <c r="Q78" s="23"/>
      <c r="R78" s="17"/>
      <c r="S78" s="17"/>
      <c r="T78" s="17"/>
      <c r="U78" s="17"/>
      <c r="V78" s="17"/>
      <c r="W78" s="17"/>
      <c r="X78" s="17"/>
      <c r="Y78" s="17"/>
      <c r="Z78" s="25" t="str">
        <f t="shared" ca="1" si="7"/>
        <v/>
      </c>
      <c r="AA78" s="1" t="str">
        <f t="shared" si="8"/>
        <v/>
      </c>
      <c r="AB78" s="17"/>
      <c r="AC78" s="17"/>
      <c r="AD78" s="17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9" t="str">
        <f t="shared" si="6"/>
        <v/>
      </c>
      <c r="N79" s="17"/>
      <c r="O79" s="21"/>
      <c r="P79" s="21"/>
      <c r="Q79" s="23"/>
      <c r="R79" s="17"/>
      <c r="S79" s="17"/>
      <c r="T79" s="17"/>
      <c r="U79" s="17"/>
      <c r="V79" s="17"/>
      <c r="W79" s="17"/>
      <c r="X79" s="17"/>
      <c r="Y79" s="17"/>
      <c r="Z79" s="25" t="str">
        <f t="shared" ca="1" si="7"/>
        <v/>
      </c>
      <c r="AA79" s="1" t="str">
        <f t="shared" si="8"/>
        <v/>
      </c>
      <c r="AB79" s="17"/>
      <c r="AC79" s="17"/>
      <c r="AD79" s="17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9" t="str">
        <f t="shared" si="6"/>
        <v/>
      </c>
      <c r="N80" s="17"/>
      <c r="O80" s="21"/>
      <c r="P80" s="21"/>
      <c r="Q80" s="23"/>
      <c r="R80" s="17"/>
      <c r="S80" s="17"/>
      <c r="T80" s="17"/>
      <c r="U80" s="17"/>
      <c r="V80" s="17"/>
      <c r="W80" s="17"/>
      <c r="X80" s="17"/>
      <c r="Y80" s="17"/>
      <c r="Z80" s="25" t="str">
        <f t="shared" ca="1" si="7"/>
        <v/>
      </c>
      <c r="AA80" s="1" t="str">
        <f t="shared" si="8"/>
        <v/>
      </c>
      <c r="AB80" s="17"/>
      <c r="AC80" s="17"/>
      <c r="AD80" s="17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9" t="str">
        <f t="shared" si="6"/>
        <v/>
      </c>
      <c r="N81" s="17"/>
      <c r="O81" s="21"/>
      <c r="P81" s="21"/>
      <c r="Q81" s="23"/>
      <c r="R81" s="17"/>
      <c r="S81" s="17"/>
      <c r="T81" s="17"/>
      <c r="U81" s="17"/>
      <c r="V81" s="17"/>
      <c r="W81" s="17"/>
      <c r="X81" s="17"/>
      <c r="Y81" s="17"/>
      <c r="Z81" s="25" t="str">
        <f t="shared" ca="1" si="7"/>
        <v/>
      </c>
      <c r="AA81" s="1" t="str">
        <f t="shared" si="8"/>
        <v/>
      </c>
      <c r="AB81" s="17"/>
      <c r="AC81" s="17"/>
      <c r="AD81" s="17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9" t="str">
        <f t="shared" si="6"/>
        <v/>
      </c>
      <c r="N82" s="17"/>
      <c r="O82" s="21"/>
      <c r="P82" s="21"/>
      <c r="Q82" s="23"/>
      <c r="R82" s="17"/>
      <c r="S82" s="17"/>
      <c r="T82" s="17"/>
      <c r="U82" s="17"/>
      <c r="V82" s="17"/>
      <c r="W82" s="17"/>
      <c r="X82" s="17"/>
      <c r="Y82" s="17"/>
      <c r="Z82" s="25" t="str">
        <f t="shared" ca="1" si="7"/>
        <v/>
      </c>
      <c r="AA82" s="1" t="str">
        <f t="shared" si="8"/>
        <v/>
      </c>
      <c r="AB82" s="17"/>
      <c r="AC82" s="17"/>
      <c r="AD82" s="17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9" t="str">
        <f t="shared" si="6"/>
        <v/>
      </c>
      <c r="N83" s="17"/>
      <c r="O83" s="21"/>
      <c r="P83" s="21"/>
      <c r="Q83" s="23"/>
      <c r="R83" s="17"/>
      <c r="S83" s="17"/>
      <c r="T83" s="17"/>
      <c r="U83" s="17"/>
      <c r="V83" s="17"/>
      <c r="W83" s="17"/>
      <c r="X83" s="17"/>
      <c r="Y83" s="17"/>
      <c r="Z83" s="25" t="str">
        <f t="shared" ca="1" si="7"/>
        <v/>
      </c>
      <c r="AA83" s="1" t="str">
        <f t="shared" si="8"/>
        <v/>
      </c>
      <c r="AB83" s="17"/>
      <c r="AC83" s="17"/>
      <c r="AD83" s="17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9" t="str">
        <f t="shared" si="6"/>
        <v/>
      </c>
      <c r="N84" s="17"/>
      <c r="O84" s="21"/>
      <c r="P84" s="21"/>
      <c r="Q84" s="23"/>
      <c r="R84" s="17"/>
      <c r="S84" s="17"/>
      <c r="T84" s="17"/>
      <c r="U84" s="17"/>
      <c r="V84" s="17"/>
      <c r="W84" s="17"/>
      <c r="X84" s="17"/>
      <c r="Y84" s="17"/>
      <c r="Z84" s="25" t="str">
        <f t="shared" ca="1" si="7"/>
        <v/>
      </c>
      <c r="AA84" s="1" t="str">
        <f t="shared" si="8"/>
        <v/>
      </c>
      <c r="AB84" s="17"/>
      <c r="AC84" s="17"/>
      <c r="AD84" s="17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9" t="str">
        <f t="shared" si="6"/>
        <v/>
      </c>
      <c r="N85" s="17"/>
      <c r="O85" s="21"/>
      <c r="P85" s="21"/>
      <c r="Q85" s="23"/>
      <c r="R85" s="17"/>
      <c r="S85" s="17"/>
      <c r="T85" s="17"/>
      <c r="U85" s="17"/>
      <c r="V85" s="17"/>
      <c r="W85" s="17"/>
      <c r="X85" s="17"/>
      <c r="Y85" s="17"/>
      <c r="Z85" s="25" t="str">
        <f t="shared" ca="1" si="7"/>
        <v/>
      </c>
      <c r="AA85" s="1" t="str">
        <f t="shared" si="8"/>
        <v/>
      </c>
      <c r="AB85" s="17"/>
      <c r="AC85" s="17"/>
      <c r="AD85" s="17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9" t="str">
        <f t="shared" si="6"/>
        <v/>
      </c>
      <c r="N86" s="17"/>
      <c r="O86" s="21"/>
      <c r="P86" s="21"/>
      <c r="Q86" s="23"/>
      <c r="R86" s="17"/>
      <c r="S86" s="17"/>
      <c r="T86" s="17"/>
      <c r="U86" s="17"/>
      <c r="V86" s="17"/>
      <c r="W86" s="17"/>
      <c r="X86" s="17"/>
      <c r="Y86" s="17"/>
      <c r="Z86" s="25" t="str">
        <f t="shared" ca="1" si="7"/>
        <v/>
      </c>
      <c r="AA86" s="1" t="str">
        <f t="shared" si="8"/>
        <v/>
      </c>
      <c r="AB86" s="17"/>
      <c r="AC86" s="17"/>
      <c r="AD86" s="17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9" t="str">
        <f t="shared" si="6"/>
        <v/>
      </c>
      <c r="N87" s="17"/>
      <c r="O87" s="21"/>
      <c r="P87" s="21"/>
      <c r="Q87" s="23"/>
      <c r="R87" s="17"/>
      <c r="S87" s="17"/>
      <c r="T87" s="17"/>
      <c r="U87" s="17"/>
      <c r="V87" s="17"/>
      <c r="W87" s="17"/>
      <c r="X87" s="17"/>
      <c r="Y87" s="17"/>
      <c r="Z87" s="25" t="str">
        <f t="shared" ca="1" si="7"/>
        <v/>
      </c>
      <c r="AA87" s="1" t="str">
        <f t="shared" si="8"/>
        <v/>
      </c>
      <c r="AB87" s="17"/>
      <c r="AC87" s="17"/>
      <c r="AD87" s="17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9" t="str">
        <f t="shared" si="6"/>
        <v/>
      </c>
      <c r="N88" s="17"/>
      <c r="O88" s="21"/>
      <c r="P88" s="21"/>
      <c r="Q88" s="23"/>
      <c r="R88" s="17"/>
      <c r="S88" s="17"/>
      <c r="T88" s="17"/>
      <c r="U88" s="17"/>
      <c r="V88" s="17"/>
      <c r="W88" s="17"/>
      <c r="X88" s="17"/>
      <c r="Y88" s="17"/>
      <c r="Z88" s="25" t="str">
        <f t="shared" ca="1" si="7"/>
        <v/>
      </c>
      <c r="AA88" s="1" t="str">
        <f t="shared" si="8"/>
        <v/>
      </c>
      <c r="AB88" s="17"/>
      <c r="AC88" s="17"/>
      <c r="AD88" s="17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9" t="str">
        <f t="shared" si="6"/>
        <v/>
      </c>
      <c r="N89" s="17"/>
      <c r="O89" s="21"/>
      <c r="P89" s="21"/>
      <c r="Q89" s="23"/>
      <c r="R89" s="17"/>
      <c r="S89" s="17"/>
      <c r="T89" s="17"/>
      <c r="U89" s="17"/>
      <c r="V89" s="17"/>
      <c r="W89" s="17"/>
      <c r="X89" s="17"/>
      <c r="Y89" s="17"/>
      <c r="Z89" s="25" t="str">
        <f t="shared" ca="1" si="7"/>
        <v/>
      </c>
      <c r="AA89" s="1" t="str">
        <f t="shared" si="8"/>
        <v/>
      </c>
      <c r="AB89" s="17"/>
      <c r="AC89" s="17"/>
      <c r="AD89" s="17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9" t="str">
        <f t="shared" si="6"/>
        <v/>
      </c>
      <c r="N90" s="17"/>
      <c r="O90" s="21"/>
      <c r="P90" s="21"/>
      <c r="Q90" s="23"/>
      <c r="R90" s="17"/>
      <c r="S90" s="17"/>
      <c r="T90" s="17"/>
      <c r="U90" s="17"/>
      <c r="V90" s="17"/>
      <c r="W90" s="17"/>
      <c r="X90" s="17"/>
      <c r="Y90" s="17"/>
      <c r="Z90" s="25" t="str">
        <f t="shared" ca="1" si="7"/>
        <v/>
      </c>
      <c r="AA90" s="1" t="str">
        <f t="shared" si="8"/>
        <v/>
      </c>
      <c r="AB90" s="17"/>
      <c r="AC90" s="17"/>
      <c r="AD90" s="17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9" t="str">
        <f t="shared" si="6"/>
        <v/>
      </c>
      <c r="N91" s="17"/>
      <c r="O91" s="21"/>
      <c r="P91" s="21"/>
      <c r="Q91" s="23"/>
      <c r="R91" s="17"/>
      <c r="S91" s="17"/>
      <c r="T91" s="17"/>
      <c r="U91" s="17"/>
      <c r="V91" s="17"/>
      <c r="W91" s="17"/>
      <c r="X91" s="17"/>
      <c r="Y91" s="17"/>
      <c r="Z91" s="25" t="str">
        <f t="shared" ca="1" si="7"/>
        <v/>
      </c>
      <c r="AA91" s="1" t="str">
        <f t="shared" si="8"/>
        <v/>
      </c>
      <c r="AB91" s="17"/>
      <c r="AC91" s="17"/>
      <c r="AD91" s="17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9" t="str">
        <f t="shared" si="6"/>
        <v/>
      </c>
      <c r="N92" s="17"/>
      <c r="O92" s="21"/>
      <c r="P92" s="21"/>
      <c r="Q92" s="23"/>
      <c r="R92" s="17"/>
      <c r="S92" s="17"/>
      <c r="T92" s="17"/>
      <c r="U92" s="17"/>
      <c r="V92" s="17"/>
      <c r="W92" s="17"/>
      <c r="X92" s="17"/>
      <c r="Y92" s="17"/>
      <c r="Z92" s="25" t="str">
        <f t="shared" ca="1" si="7"/>
        <v/>
      </c>
      <c r="AA92" s="1" t="str">
        <f t="shared" si="8"/>
        <v/>
      </c>
      <c r="AB92" s="17"/>
      <c r="AC92" s="17"/>
      <c r="AD92" s="17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9" t="str">
        <f t="shared" si="6"/>
        <v/>
      </c>
      <c r="N93" s="17"/>
      <c r="O93" s="21"/>
      <c r="P93" s="21"/>
      <c r="Q93" s="23"/>
      <c r="R93" s="17"/>
      <c r="S93" s="17"/>
      <c r="T93" s="17"/>
      <c r="U93" s="17"/>
      <c r="V93" s="17"/>
      <c r="W93" s="17"/>
      <c r="X93" s="17"/>
      <c r="Y93" s="17"/>
      <c r="Z93" s="25" t="str">
        <f t="shared" ca="1" si="7"/>
        <v/>
      </c>
      <c r="AA93" s="1" t="str">
        <f t="shared" si="8"/>
        <v/>
      </c>
      <c r="AB93" s="17"/>
      <c r="AC93" s="17"/>
      <c r="AD93" s="17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9" t="str">
        <f t="shared" si="6"/>
        <v/>
      </c>
      <c r="N94" s="17"/>
      <c r="O94" s="21"/>
      <c r="P94" s="21"/>
      <c r="Q94" s="23"/>
      <c r="R94" s="17"/>
      <c r="S94" s="17"/>
      <c r="T94" s="17"/>
      <c r="U94" s="17"/>
      <c r="V94" s="17"/>
      <c r="W94" s="17"/>
      <c r="X94" s="17"/>
      <c r="Y94" s="17"/>
      <c r="Z94" s="25" t="str">
        <f t="shared" ca="1" si="7"/>
        <v/>
      </c>
      <c r="AA94" s="1" t="str">
        <f t="shared" si="8"/>
        <v/>
      </c>
      <c r="AB94" s="17"/>
      <c r="AC94" s="17"/>
      <c r="AD94" s="17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9" t="str">
        <f t="shared" si="6"/>
        <v/>
      </c>
      <c r="N95" s="17"/>
      <c r="O95" s="21"/>
      <c r="P95" s="21"/>
      <c r="Q95" s="23"/>
      <c r="R95" s="17"/>
      <c r="S95" s="17"/>
      <c r="T95" s="17"/>
      <c r="U95" s="17"/>
      <c r="V95" s="17"/>
      <c r="W95" s="17"/>
      <c r="X95" s="17"/>
      <c r="Y95" s="17"/>
      <c r="Z95" s="25" t="str">
        <f t="shared" ca="1" si="7"/>
        <v/>
      </c>
      <c r="AA95" s="1" t="str">
        <f t="shared" si="8"/>
        <v/>
      </c>
      <c r="AB95" s="17"/>
      <c r="AC95" s="17"/>
      <c r="AD95" s="17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9" t="str">
        <f t="shared" si="6"/>
        <v/>
      </c>
      <c r="N96" s="17"/>
      <c r="O96" s="21"/>
      <c r="P96" s="21"/>
      <c r="Q96" s="23"/>
      <c r="R96" s="17"/>
      <c r="S96" s="17"/>
      <c r="T96" s="17"/>
      <c r="U96" s="17"/>
      <c r="V96" s="17"/>
      <c r="W96" s="17"/>
      <c r="X96" s="17"/>
      <c r="Y96" s="17"/>
      <c r="Z96" s="25" t="str">
        <f t="shared" ca="1" si="7"/>
        <v/>
      </c>
      <c r="AA96" s="1" t="str">
        <f t="shared" si="8"/>
        <v/>
      </c>
      <c r="AB96" s="17"/>
      <c r="AC96" s="17"/>
      <c r="AD96" s="17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9" t="str">
        <f t="shared" si="6"/>
        <v/>
      </c>
      <c r="N97" s="17"/>
      <c r="O97" s="21"/>
      <c r="P97" s="21"/>
      <c r="Q97" s="23"/>
      <c r="R97" s="17"/>
      <c r="S97" s="17"/>
      <c r="T97" s="17"/>
      <c r="U97" s="17"/>
      <c r="V97" s="17"/>
      <c r="W97" s="17"/>
      <c r="X97" s="17"/>
      <c r="Y97" s="17"/>
      <c r="Z97" s="25" t="str">
        <f t="shared" ca="1" si="7"/>
        <v/>
      </c>
      <c r="AA97" s="1" t="str">
        <f t="shared" si="8"/>
        <v/>
      </c>
      <c r="AB97" s="17"/>
      <c r="AC97" s="17"/>
      <c r="AD97" s="17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9" t="str">
        <f t="shared" si="6"/>
        <v/>
      </c>
      <c r="N98" s="17"/>
      <c r="O98" s="21"/>
      <c r="P98" s="21"/>
      <c r="Q98" s="23"/>
      <c r="R98" s="17"/>
      <c r="S98" s="17"/>
      <c r="T98" s="17"/>
      <c r="U98" s="17"/>
      <c r="V98" s="17"/>
      <c r="W98" s="17"/>
      <c r="X98" s="17"/>
      <c r="Y98" s="17"/>
      <c r="Z98" s="25" t="str">
        <f t="shared" ca="1" si="7"/>
        <v/>
      </c>
      <c r="AA98" s="1" t="str">
        <f t="shared" si="8"/>
        <v/>
      </c>
      <c r="AB98" s="17"/>
      <c r="AC98" s="17"/>
      <c r="AD98" s="17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9" t="str">
        <f t="shared" si="6"/>
        <v/>
      </c>
      <c r="N99" s="17"/>
      <c r="O99" s="21"/>
      <c r="P99" s="21"/>
      <c r="Q99" s="23"/>
      <c r="R99" s="17"/>
      <c r="S99" s="17"/>
      <c r="T99" s="17"/>
      <c r="U99" s="17"/>
      <c r="V99" s="17"/>
      <c r="W99" s="17"/>
      <c r="X99" s="17"/>
      <c r="Y99" s="17"/>
      <c r="Z99" s="25" t="str">
        <f t="shared" ca="1" si="7"/>
        <v/>
      </c>
      <c r="AA99" s="1" t="str">
        <f t="shared" si="8"/>
        <v/>
      </c>
      <c r="AB99" s="17"/>
      <c r="AC99" s="17"/>
      <c r="AD99" s="17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9" t="str">
        <f t="shared" si="6"/>
        <v/>
      </c>
      <c r="N100" s="17"/>
      <c r="O100" s="21"/>
      <c r="P100" s="21"/>
      <c r="Q100" s="23"/>
      <c r="R100" s="17"/>
      <c r="S100" s="17"/>
      <c r="T100" s="17"/>
      <c r="U100" s="17"/>
      <c r="V100" s="17"/>
      <c r="W100" s="17"/>
      <c r="X100" s="17"/>
      <c r="Y100" s="17"/>
      <c r="Z100" s="25" t="str">
        <f t="shared" ca="1" si="7"/>
        <v/>
      </c>
      <c r="AA100" s="1" t="str">
        <f t="shared" si="8"/>
        <v/>
      </c>
      <c r="AB100" s="17"/>
      <c r="AC100" s="17"/>
      <c r="AD100" s="17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9" t="str">
        <f t="shared" si="6"/>
        <v/>
      </c>
      <c r="N101" s="17"/>
      <c r="O101" s="21"/>
      <c r="P101" s="21"/>
      <c r="Q101" s="23"/>
      <c r="R101" s="17"/>
      <c r="S101" s="17"/>
      <c r="T101" s="17"/>
      <c r="U101" s="17"/>
      <c r="V101" s="17"/>
      <c r="W101" s="17"/>
      <c r="X101" s="17"/>
      <c r="Y101" s="17"/>
      <c r="Z101" s="25" t="str">
        <f t="shared" ca="1" si="7"/>
        <v/>
      </c>
      <c r="AA101" s="1" t="str">
        <f t="shared" si="8"/>
        <v/>
      </c>
      <c r="AB101" s="17"/>
      <c r="AC101" s="17"/>
      <c r="AD101" s="17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9" t="str">
        <f t="shared" si="6"/>
        <v/>
      </c>
      <c r="N102" s="17"/>
      <c r="O102" s="21"/>
      <c r="P102" s="21"/>
      <c r="Q102" s="23"/>
      <c r="R102" s="17"/>
      <c r="S102" s="17"/>
      <c r="T102" s="17"/>
      <c r="U102" s="17"/>
      <c r="V102" s="17"/>
      <c r="W102" s="17"/>
      <c r="X102" s="17"/>
      <c r="Y102" s="17"/>
      <c r="Z102" s="25" t="str">
        <f t="shared" ca="1" si="7"/>
        <v/>
      </c>
      <c r="AA102" s="1" t="str">
        <f t="shared" si="8"/>
        <v/>
      </c>
      <c r="AB102" s="17"/>
      <c r="AC102" s="17"/>
      <c r="AD102" s="17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9" t="str">
        <f t="shared" ref="M103:M134" si="9">IF(OR(K103="",K103=0,L103=""),"",L103/K103)</f>
        <v/>
      </c>
      <c r="N103" s="17"/>
      <c r="O103" s="21"/>
      <c r="P103" s="21"/>
      <c r="Q103" s="23"/>
      <c r="R103" s="17"/>
      <c r="S103" s="17"/>
      <c r="T103" s="17"/>
      <c r="U103" s="17"/>
      <c r="V103" s="17"/>
      <c r="W103" s="17"/>
      <c r="X103" s="17"/>
      <c r="Y103" s="17"/>
      <c r="Z103" s="25" t="str">
        <f t="shared" ref="Z103:Z134" ca="1" si="10">IF(P103="","",P103-TODAY())</f>
        <v/>
      </c>
      <c r="AA103" s="1" t="str">
        <f t="shared" ref="AA103:AA134" si="11">IF(P103="","",IF(Y103&lt;&gt;"Active","Inactive",IF(Z103&lt;0,"Expired",IF(Z103&lt;=30,"Due within 30 days",IF(Z103&lt;=60,"Due in 31-60 days",IF(Z103&lt;=90,"Due in 61-90 days","Later"))))))</f>
        <v/>
      </c>
      <c r="AB103" s="17"/>
      <c r="AC103" s="17"/>
      <c r="AD103" s="17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9" t="str">
        <f t="shared" si="9"/>
        <v/>
      </c>
      <c r="N104" s="17"/>
      <c r="O104" s="21"/>
      <c r="P104" s="21"/>
      <c r="Q104" s="23"/>
      <c r="R104" s="17"/>
      <c r="S104" s="17"/>
      <c r="T104" s="17"/>
      <c r="U104" s="17"/>
      <c r="V104" s="17"/>
      <c r="W104" s="17"/>
      <c r="X104" s="17"/>
      <c r="Y104" s="17"/>
      <c r="Z104" s="25" t="str">
        <f t="shared" ca="1" si="10"/>
        <v/>
      </c>
      <c r="AA104" s="1" t="str">
        <f t="shared" si="11"/>
        <v/>
      </c>
      <c r="AB104" s="17"/>
      <c r="AC104" s="17"/>
      <c r="AD104" s="17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9" t="str">
        <f t="shared" si="9"/>
        <v/>
      </c>
      <c r="N105" s="17"/>
      <c r="O105" s="21"/>
      <c r="P105" s="21"/>
      <c r="Q105" s="23"/>
      <c r="R105" s="17"/>
      <c r="S105" s="17"/>
      <c r="T105" s="17"/>
      <c r="U105" s="17"/>
      <c r="V105" s="17"/>
      <c r="W105" s="17"/>
      <c r="X105" s="17"/>
      <c r="Y105" s="17"/>
      <c r="Z105" s="25" t="str">
        <f t="shared" ca="1" si="10"/>
        <v/>
      </c>
      <c r="AA105" s="1" t="str">
        <f t="shared" si="11"/>
        <v/>
      </c>
      <c r="AB105" s="17"/>
      <c r="AC105" s="17"/>
      <c r="AD105" s="17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9" t="str">
        <f t="shared" si="9"/>
        <v/>
      </c>
      <c r="N106" s="17"/>
      <c r="O106" s="21"/>
      <c r="P106" s="21"/>
      <c r="Q106" s="23"/>
      <c r="R106" s="17"/>
      <c r="S106" s="17"/>
      <c r="T106" s="17"/>
      <c r="U106" s="17"/>
      <c r="V106" s="17"/>
      <c r="W106" s="17"/>
      <c r="X106" s="17"/>
      <c r="Y106" s="17"/>
      <c r="Z106" s="25" t="str">
        <f t="shared" ca="1" si="10"/>
        <v/>
      </c>
      <c r="AA106" s="1" t="str">
        <f t="shared" si="11"/>
        <v/>
      </c>
      <c r="AB106" s="17"/>
      <c r="AC106" s="17"/>
      <c r="AD106" s="17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9" t="str">
        <f t="shared" si="9"/>
        <v/>
      </c>
      <c r="N107" s="17"/>
      <c r="O107" s="21"/>
      <c r="P107" s="21"/>
      <c r="Q107" s="23"/>
      <c r="R107" s="17"/>
      <c r="S107" s="17"/>
      <c r="T107" s="17"/>
      <c r="U107" s="17"/>
      <c r="V107" s="17"/>
      <c r="W107" s="17"/>
      <c r="X107" s="17"/>
      <c r="Y107" s="17"/>
      <c r="Z107" s="25" t="str">
        <f t="shared" ca="1" si="10"/>
        <v/>
      </c>
      <c r="AA107" s="1" t="str">
        <f t="shared" si="11"/>
        <v/>
      </c>
      <c r="AB107" s="17"/>
      <c r="AC107" s="17"/>
      <c r="AD107" s="1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9" t="str">
        <f t="shared" si="9"/>
        <v/>
      </c>
      <c r="N108" s="17"/>
      <c r="O108" s="21"/>
      <c r="P108" s="21"/>
      <c r="Q108" s="23"/>
      <c r="R108" s="17"/>
      <c r="S108" s="17"/>
      <c r="T108" s="17"/>
      <c r="U108" s="17"/>
      <c r="V108" s="17"/>
      <c r="W108" s="17"/>
      <c r="X108" s="17"/>
      <c r="Y108" s="17"/>
      <c r="Z108" s="25" t="str">
        <f t="shared" ca="1" si="10"/>
        <v/>
      </c>
      <c r="AA108" s="1" t="str">
        <f t="shared" si="11"/>
        <v/>
      </c>
      <c r="AB108" s="17"/>
      <c r="AC108" s="17"/>
      <c r="AD108" s="1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9" t="str">
        <f t="shared" si="9"/>
        <v/>
      </c>
      <c r="N109" s="17"/>
      <c r="O109" s="21"/>
      <c r="P109" s="21"/>
      <c r="Q109" s="23"/>
      <c r="R109" s="17"/>
      <c r="S109" s="17"/>
      <c r="T109" s="17"/>
      <c r="U109" s="17"/>
      <c r="V109" s="17"/>
      <c r="W109" s="17"/>
      <c r="X109" s="17"/>
      <c r="Y109" s="17"/>
      <c r="Z109" s="25" t="str">
        <f t="shared" ca="1" si="10"/>
        <v/>
      </c>
      <c r="AA109" s="1" t="str">
        <f t="shared" si="11"/>
        <v/>
      </c>
      <c r="AB109" s="17"/>
      <c r="AC109" s="17"/>
      <c r="AD109" s="1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8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9" t="str">
        <f t="shared" si="9"/>
        <v/>
      </c>
      <c r="N110" s="17"/>
      <c r="O110" s="21"/>
      <c r="P110" s="21"/>
      <c r="Q110" s="23"/>
      <c r="R110" s="17"/>
      <c r="S110" s="17"/>
      <c r="T110" s="17"/>
      <c r="U110" s="17"/>
      <c r="V110" s="17"/>
      <c r="W110" s="17"/>
      <c r="X110" s="17"/>
      <c r="Y110" s="17"/>
      <c r="Z110" s="25" t="str">
        <f t="shared" ca="1" si="10"/>
        <v/>
      </c>
      <c r="AA110" s="1" t="str">
        <f t="shared" si="11"/>
        <v/>
      </c>
      <c r="AB110" s="17"/>
      <c r="AC110" s="17"/>
      <c r="AD110" s="1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8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9" t="str">
        <f t="shared" si="9"/>
        <v/>
      </c>
      <c r="N111" s="17"/>
      <c r="O111" s="21"/>
      <c r="P111" s="21"/>
      <c r="Q111" s="23"/>
      <c r="R111" s="17"/>
      <c r="S111" s="17"/>
      <c r="T111" s="17"/>
      <c r="U111" s="17"/>
      <c r="V111" s="17"/>
      <c r="W111" s="17"/>
      <c r="X111" s="17"/>
      <c r="Y111" s="17"/>
      <c r="Z111" s="25" t="str">
        <f t="shared" ca="1" si="10"/>
        <v/>
      </c>
      <c r="AA111" s="1" t="str">
        <f t="shared" si="11"/>
        <v/>
      </c>
      <c r="AB111" s="17"/>
      <c r="AC111" s="17"/>
      <c r="AD111" s="1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8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9" t="str">
        <f t="shared" si="9"/>
        <v/>
      </c>
      <c r="N112" s="17"/>
      <c r="O112" s="21"/>
      <c r="P112" s="21"/>
      <c r="Q112" s="23"/>
      <c r="R112" s="17"/>
      <c r="S112" s="17"/>
      <c r="T112" s="17"/>
      <c r="U112" s="17"/>
      <c r="V112" s="17"/>
      <c r="W112" s="17"/>
      <c r="X112" s="17"/>
      <c r="Y112" s="17"/>
      <c r="Z112" s="25" t="str">
        <f t="shared" ca="1" si="10"/>
        <v/>
      </c>
      <c r="AA112" s="1" t="str">
        <f t="shared" si="11"/>
        <v/>
      </c>
      <c r="AB112" s="17"/>
      <c r="AC112" s="17"/>
      <c r="AD112" s="17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8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9" t="str">
        <f t="shared" si="9"/>
        <v/>
      </c>
      <c r="N113" s="17"/>
      <c r="O113" s="21"/>
      <c r="P113" s="21"/>
      <c r="Q113" s="23"/>
      <c r="R113" s="17"/>
      <c r="S113" s="17"/>
      <c r="T113" s="17"/>
      <c r="U113" s="17"/>
      <c r="V113" s="17"/>
      <c r="W113" s="17"/>
      <c r="X113" s="17"/>
      <c r="Y113" s="17"/>
      <c r="Z113" s="25" t="str">
        <f t="shared" ca="1" si="10"/>
        <v/>
      </c>
      <c r="AA113" s="1" t="str">
        <f t="shared" si="11"/>
        <v/>
      </c>
      <c r="AB113" s="17"/>
      <c r="AC113" s="17"/>
      <c r="AD113" s="17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8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9" t="str">
        <f t="shared" si="9"/>
        <v/>
      </c>
      <c r="N114" s="17"/>
      <c r="O114" s="21"/>
      <c r="P114" s="21"/>
      <c r="Q114" s="23"/>
      <c r="R114" s="17"/>
      <c r="S114" s="17"/>
      <c r="T114" s="17"/>
      <c r="U114" s="17"/>
      <c r="V114" s="17"/>
      <c r="W114" s="17"/>
      <c r="X114" s="17"/>
      <c r="Y114" s="17"/>
      <c r="Z114" s="25" t="str">
        <f t="shared" ca="1" si="10"/>
        <v/>
      </c>
      <c r="AA114" s="1" t="str">
        <f t="shared" si="11"/>
        <v/>
      </c>
      <c r="AB114" s="17"/>
      <c r="AC114" s="17"/>
      <c r="AD114" s="17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8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9" t="str">
        <f t="shared" si="9"/>
        <v/>
      </c>
      <c r="N115" s="17"/>
      <c r="O115" s="21"/>
      <c r="P115" s="21"/>
      <c r="Q115" s="23"/>
      <c r="R115" s="17"/>
      <c r="S115" s="17"/>
      <c r="T115" s="17"/>
      <c r="U115" s="17"/>
      <c r="V115" s="17"/>
      <c r="W115" s="17"/>
      <c r="X115" s="17"/>
      <c r="Y115" s="17"/>
      <c r="Z115" s="25" t="str">
        <f t="shared" ca="1" si="10"/>
        <v/>
      </c>
      <c r="AA115" s="1" t="str">
        <f t="shared" si="11"/>
        <v/>
      </c>
      <c r="AB115" s="17"/>
      <c r="AC115" s="17"/>
      <c r="AD115" s="17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8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9" t="str">
        <f t="shared" si="9"/>
        <v/>
      </c>
      <c r="N116" s="17"/>
      <c r="O116" s="21"/>
      <c r="P116" s="21"/>
      <c r="Q116" s="23"/>
      <c r="R116" s="17"/>
      <c r="S116" s="17"/>
      <c r="T116" s="17"/>
      <c r="U116" s="17"/>
      <c r="V116" s="17"/>
      <c r="W116" s="17"/>
      <c r="X116" s="17"/>
      <c r="Y116" s="17"/>
      <c r="Z116" s="25" t="str">
        <f t="shared" ca="1" si="10"/>
        <v/>
      </c>
      <c r="AA116" s="1" t="str">
        <f t="shared" si="11"/>
        <v/>
      </c>
      <c r="AB116" s="17"/>
      <c r="AC116" s="17"/>
      <c r="AD116" s="17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8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9" t="str">
        <f t="shared" si="9"/>
        <v/>
      </c>
      <c r="N117" s="17"/>
      <c r="O117" s="21"/>
      <c r="P117" s="21"/>
      <c r="Q117" s="23"/>
      <c r="R117" s="17"/>
      <c r="S117" s="17"/>
      <c r="T117" s="17"/>
      <c r="U117" s="17"/>
      <c r="V117" s="17"/>
      <c r="W117" s="17"/>
      <c r="X117" s="17"/>
      <c r="Y117" s="17"/>
      <c r="Z117" s="25" t="str">
        <f t="shared" ca="1" si="10"/>
        <v/>
      </c>
      <c r="AA117" s="1" t="str">
        <f t="shared" si="11"/>
        <v/>
      </c>
      <c r="AB117" s="17"/>
      <c r="AC117" s="17"/>
      <c r="AD117" s="17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8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9" t="str">
        <f t="shared" si="9"/>
        <v/>
      </c>
      <c r="N118" s="17"/>
      <c r="O118" s="21"/>
      <c r="P118" s="21"/>
      <c r="Q118" s="23"/>
      <c r="R118" s="17"/>
      <c r="S118" s="17"/>
      <c r="T118" s="17"/>
      <c r="U118" s="17"/>
      <c r="V118" s="17"/>
      <c r="W118" s="17"/>
      <c r="X118" s="17"/>
      <c r="Y118" s="17"/>
      <c r="Z118" s="25" t="str">
        <f t="shared" ca="1" si="10"/>
        <v/>
      </c>
      <c r="AA118" s="1" t="str">
        <f t="shared" si="11"/>
        <v/>
      </c>
      <c r="AB118" s="17"/>
      <c r="AC118" s="17"/>
      <c r="AD118" s="17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8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9" t="str">
        <f t="shared" si="9"/>
        <v/>
      </c>
      <c r="N119" s="17"/>
      <c r="O119" s="21"/>
      <c r="P119" s="21"/>
      <c r="Q119" s="23"/>
      <c r="R119" s="17"/>
      <c r="S119" s="17"/>
      <c r="T119" s="17"/>
      <c r="U119" s="17"/>
      <c r="V119" s="17"/>
      <c r="W119" s="17"/>
      <c r="X119" s="17"/>
      <c r="Y119" s="17"/>
      <c r="Z119" s="25" t="str">
        <f t="shared" ca="1" si="10"/>
        <v/>
      </c>
      <c r="AA119" s="1" t="str">
        <f t="shared" si="11"/>
        <v/>
      </c>
      <c r="AB119" s="17"/>
      <c r="AC119" s="17"/>
      <c r="AD119" s="17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8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9" t="str">
        <f t="shared" si="9"/>
        <v/>
      </c>
      <c r="N120" s="17"/>
      <c r="O120" s="21"/>
      <c r="P120" s="21"/>
      <c r="Q120" s="23"/>
      <c r="R120" s="17"/>
      <c r="S120" s="17"/>
      <c r="T120" s="17"/>
      <c r="U120" s="17"/>
      <c r="V120" s="17"/>
      <c r="W120" s="17"/>
      <c r="X120" s="17"/>
      <c r="Y120" s="17"/>
      <c r="Z120" s="25" t="str">
        <f t="shared" ca="1" si="10"/>
        <v/>
      </c>
      <c r="AA120" s="1" t="str">
        <f t="shared" si="11"/>
        <v/>
      </c>
      <c r="AB120" s="17"/>
      <c r="AC120" s="17"/>
      <c r="AD120" s="17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8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9" t="str">
        <f t="shared" si="9"/>
        <v/>
      </c>
      <c r="N121" s="17"/>
      <c r="O121" s="21"/>
      <c r="P121" s="21"/>
      <c r="Q121" s="23"/>
      <c r="R121" s="17"/>
      <c r="S121" s="17"/>
      <c r="T121" s="17"/>
      <c r="U121" s="17"/>
      <c r="V121" s="17"/>
      <c r="W121" s="17"/>
      <c r="X121" s="17"/>
      <c r="Y121" s="17"/>
      <c r="Z121" s="25" t="str">
        <f t="shared" ca="1" si="10"/>
        <v/>
      </c>
      <c r="AA121" s="1" t="str">
        <f t="shared" si="11"/>
        <v/>
      </c>
      <c r="AB121" s="17"/>
      <c r="AC121" s="17"/>
      <c r="AD121" s="17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8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9" t="str">
        <f t="shared" si="9"/>
        <v/>
      </c>
      <c r="N122" s="17"/>
      <c r="O122" s="21"/>
      <c r="P122" s="21"/>
      <c r="Q122" s="23"/>
      <c r="R122" s="17"/>
      <c r="S122" s="17"/>
      <c r="T122" s="17"/>
      <c r="U122" s="17"/>
      <c r="V122" s="17"/>
      <c r="W122" s="17"/>
      <c r="X122" s="17"/>
      <c r="Y122" s="17"/>
      <c r="Z122" s="25" t="str">
        <f t="shared" ca="1" si="10"/>
        <v/>
      </c>
      <c r="AA122" s="1" t="str">
        <f t="shared" si="11"/>
        <v/>
      </c>
      <c r="AB122" s="17"/>
      <c r="AC122" s="17"/>
      <c r="AD122" s="17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8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9" t="str">
        <f t="shared" si="9"/>
        <v/>
      </c>
      <c r="N123" s="17"/>
      <c r="O123" s="21"/>
      <c r="P123" s="21"/>
      <c r="Q123" s="23"/>
      <c r="R123" s="17"/>
      <c r="S123" s="17"/>
      <c r="T123" s="17"/>
      <c r="U123" s="17"/>
      <c r="V123" s="17"/>
      <c r="W123" s="17"/>
      <c r="X123" s="17"/>
      <c r="Y123" s="17"/>
      <c r="Z123" s="25" t="str">
        <f t="shared" ca="1" si="10"/>
        <v/>
      </c>
      <c r="AA123" s="1" t="str">
        <f t="shared" si="11"/>
        <v/>
      </c>
      <c r="AB123" s="17"/>
      <c r="AC123" s="17"/>
      <c r="AD123" s="17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8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9" t="str">
        <f t="shared" si="9"/>
        <v/>
      </c>
      <c r="N124" s="17"/>
      <c r="O124" s="21"/>
      <c r="P124" s="21"/>
      <c r="Q124" s="23"/>
      <c r="R124" s="17"/>
      <c r="S124" s="17"/>
      <c r="T124" s="17"/>
      <c r="U124" s="17"/>
      <c r="V124" s="17"/>
      <c r="W124" s="17"/>
      <c r="X124" s="17"/>
      <c r="Y124" s="17"/>
      <c r="Z124" s="25" t="str">
        <f t="shared" ca="1" si="10"/>
        <v/>
      </c>
      <c r="AA124" s="1" t="str">
        <f t="shared" si="11"/>
        <v/>
      </c>
      <c r="AB124" s="17"/>
      <c r="AC124" s="17"/>
      <c r="AD124" s="17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8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9" t="str">
        <f t="shared" si="9"/>
        <v/>
      </c>
      <c r="N125" s="17"/>
      <c r="O125" s="21"/>
      <c r="P125" s="21"/>
      <c r="Q125" s="23"/>
      <c r="R125" s="17"/>
      <c r="S125" s="17"/>
      <c r="T125" s="17"/>
      <c r="U125" s="17"/>
      <c r="V125" s="17"/>
      <c r="W125" s="17"/>
      <c r="X125" s="17"/>
      <c r="Y125" s="17"/>
      <c r="Z125" s="25" t="str">
        <f t="shared" ca="1" si="10"/>
        <v/>
      </c>
      <c r="AA125" s="1" t="str">
        <f t="shared" si="11"/>
        <v/>
      </c>
      <c r="AB125" s="17"/>
      <c r="AC125" s="17"/>
      <c r="AD125" s="17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8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9" t="str">
        <f t="shared" si="9"/>
        <v/>
      </c>
      <c r="N126" s="17"/>
      <c r="O126" s="21"/>
      <c r="P126" s="21"/>
      <c r="Q126" s="23"/>
      <c r="R126" s="17"/>
      <c r="S126" s="17"/>
      <c r="T126" s="17"/>
      <c r="U126" s="17"/>
      <c r="V126" s="17"/>
      <c r="W126" s="17"/>
      <c r="X126" s="17"/>
      <c r="Y126" s="17"/>
      <c r="Z126" s="25" t="str">
        <f t="shared" ca="1" si="10"/>
        <v/>
      </c>
      <c r="AA126" s="1" t="str">
        <f t="shared" si="11"/>
        <v/>
      </c>
      <c r="AB126" s="17"/>
      <c r="AC126" s="17"/>
      <c r="AD126" s="17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8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9" t="str">
        <f t="shared" si="9"/>
        <v/>
      </c>
      <c r="N127" s="17"/>
      <c r="O127" s="21"/>
      <c r="P127" s="21"/>
      <c r="Q127" s="23"/>
      <c r="R127" s="17"/>
      <c r="S127" s="17"/>
      <c r="T127" s="17"/>
      <c r="U127" s="17"/>
      <c r="V127" s="17"/>
      <c r="W127" s="17"/>
      <c r="X127" s="17"/>
      <c r="Y127" s="17"/>
      <c r="Z127" s="25" t="str">
        <f t="shared" ca="1" si="10"/>
        <v/>
      </c>
      <c r="AA127" s="1" t="str">
        <f t="shared" si="11"/>
        <v/>
      </c>
      <c r="AB127" s="17"/>
      <c r="AC127" s="17"/>
      <c r="AD127" s="17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8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9" t="str">
        <f t="shared" si="9"/>
        <v/>
      </c>
      <c r="N128" s="17"/>
      <c r="O128" s="21"/>
      <c r="P128" s="21"/>
      <c r="Q128" s="23"/>
      <c r="R128" s="17"/>
      <c r="S128" s="17"/>
      <c r="T128" s="17"/>
      <c r="U128" s="17"/>
      <c r="V128" s="17"/>
      <c r="W128" s="17"/>
      <c r="X128" s="17"/>
      <c r="Y128" s="17"/>
      <c r="Z128" s="25" t="str">
        <f t="shared" ca="1" si="10"/>
        <v/>
      </c>
      <c r="AA128" s="1" t="str">
        <f t="shared" si="11"/>
        <v/>
      </c>
      <c r="AB128" s="17"/>
      <c r="AC128" s="17"/>
      <c r="AD128" s="17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8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9" t="str">
        <f t="shared" si="9"/>
        <v/>
      </c>
      <c r="N129" s="17"/>
      <c r="O129" s="21"/>
      <c r="P129" s="21"/>
      <c r="Q129" s="23"/>
      <c r="R129" s="17"/>
      <c r="S129" s="17"/>
      <c r="T129" s="17"/>
      <c r="U129" s="17"/>
      <c r="V129" s="17"/>
      <c r="W129" s="17"/>
      <c r="X129" s="17"/>
      <c r="Y129" s="17"/>
      <c r="Z129" s="25" t="str">
        <f t="shared" ca="1" si="10"/>
        <v/>
      </c>
      <c r="AA129" s="1" t="str">
        <f t="shared" si="11"/>
        <v/>
      </c>
      <c r="AB129" s="17"/>
      <c r="AC129" s="17"/>
      <c r="AD129" s="17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8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9" t="str">
        <f t="shared" si="9"/>
        <v/>
      </c>
      <c r="N130" s="17"/>
      <c r="O130" s="21"/>
      <c r="P130" s="21"/>
      <c r="Q130" s="23"/>
      <c r="R130" s="17"/>
      <c r="S130" s="17"/>
      <c r="T130" s="17"/>
      <c r="U130" s="17"/>
      <c r="V130" s="17"/>
      <c r="W130" s="17"/>
      <c r="X130" s="17"/>
      <c r="Y130" s="17"/>
      <c r="Z130" s="25" t="str">
        <f t="shared" ca="1" si="10"/>
        <v/>
      </c>
      <c r="AA130" s="1" t="str">
        <f t="shared" si="11"/>
        <v/>
      </c>
      <c r="AB130" s="17"/>
      <c r="AC130" s="17"/>
      <c r="AD130" s="17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8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9" t="str">
        <f t="shared" si="9"/>
        <v/>
      </c>
      <c r="N131" s="17"/>
      <c r="O131" s="21"/>
      <c r="P131" s="21"/>
      <c r="Q131" s="23"/>
      <c r="R131" s="17"/>
      <c r="S131" s="17"/>
      <c r="T131" s="17"/>
      <c r="U131" s="17"/>
      <c r="V131" s="17"/>
      <c r="W131" s="17"/>
      <c r="X131" s="17"/>
      <c r="Y131" s="17"/>
      <c r="Z131" s="25" t="str">
        <f t="shared" ca="1" si="10"/>
        <v/>
      </c>
      <c r="AA131" s="1" t="str">
        <f t="shared" si="11"/>
        <v/>
      </c>
      <c r="AB131" s="17"/>
      <c r="AC131" s="17"/>
      <c r="AD131" s="17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8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9" t="str">
        <f t="shared" si="9"/>
        <v/>
      </c>
      <c r="N132" s="17"/>
      <c r="O132" s="21"/>
      <c r="P132" s="21"/>
      <c r="Q132" s="23"/>
      <c r="R132" s="17"/>
      <c r="S132" s="17"/>
      <c r="T132" s="17"/>
      <c r="U132" s="17"/>
      <c r="V132" s="17"/>
      <c r="W132" s="17"/>
      <c r="X132" s="17"/>
      <c r="Y132" s="17"/>
      <c r="Z132" s="25" t="str">
        <f t="shared" ca="1" si="10"/>
        <v/>
      </c>
      <c r="AA132" s="1" t="str">
        <f t="shared" si="11"/>
        <v/>
      </c>
      <c r="AB132" s="17"/>
      <c r="AC132" s="17"/>
      <c r="AD132" s="17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8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9" t="str">
        <f t="shared" si="9"/>
        <v/>
      </c>
      <c r="N133" s="17"/>
      <c r="O133" s="21"/>
      <c r="P133" s="21"/>
      <c r="Q133" s="23"/>
      <c r="R133" s="17"/>
      <c r="S133" s="17"/>
      <c r="T133" s="17"/>
      <c r="U133" s="17"/>
      <c r="V133" s="17"/>
      <c r="W133" s="17"/>
      <c r="X133" s="17"/>
      <c r="Y133" s="17"/>
      <c r="Z133" s="25" t="str">
        <f t="shared" ca="1" si="10"/>
        <v/>
      </c>
      <c r="AA133" s="1" t="str">
        <f t="shared" si="11"/>
        <v/>
      </c>
      <c r="AB133" s="17"/>
      <c r="AC133" s="17"/>
      <c r="AD133" s="17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8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9" t="str">
        <f t="shared" si="9"/>
        <v/>
      </c>
      <c r="N134" s="17"/>
      <c r="O134" s="21"/>
      <c r="P134" s="21"/>
      <c r="Q134" s="23"/>
      <c r="R134" s="17"/>
      <c r="S134" s="17"/>
      <c r="T134" s="17"/>
      <c r="U134" s="17"/>
      <c r="V134" s="17"/>
      <c r="W134" s="17"/>
      <c r="X134" s="17"/>
      <c r="Y134" s="17"/>
      <c r="Z134" s="25" t="str">
        <f t="shared" ca="1" si="10"/>
        <v/>
      </c>
      <c r="AA134" s="1" t="str">
        <f t="shared" si="11"/>
        <v/>
      </c>
      <c r="AB134" s="17"/>
      <c r="AC134" s="17"/>
      <c r="AD134" s="17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8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9" t="str">
        <f t="shared" ref="M135:M166" si="12">IF(OR(K135="",K135=0,L135=""),"",L135/K135)</f>
        <v/>
      </c>
      <c r="N135" s="17"/>
      <c r="O135" s="21"/>
      <c r="P135" s="21"/>
      <c r="Q135" s="23"/>
      <c r="R135" s="17"/>
      <c r="S135" s="17"/>
      <c r="T135" s="17"/>
      <c r="U135" s="17"/>
      <c r="V135" s="17"/>
      <c r="W135" s="17"/>
      <c r="X135" s="17"/>
      <c r="Y135" s="17"/>
      <c r="Z135" s="25" t="str">
        <f t="shared" ref="Z135:Z166" ca="1" si="13">IF(P135="","",P135-TODAY())</f>
        <v/>
      </c>
      <c r="AA135" s="1" t="str">
        <f t="shared" ref="AA135:AA166" si="14">IF(P135="","",IF(Y135&lt;&gt;"Active","Inactive",IF(Z135&lt;0,"Expired",IF(Z135&lt;=30,"Due within 30 days",IF(Z135&lt;=60,"Due in 31-60 days",IF(Z135&lt;=90,"Due in 61-90 days","Later"))))))</f>
        <v/>
      </c>
      <c r="AB135" s="17"/>
      <c r="AC135" s="17"/>
      <c r="AD135" s="17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8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9" t="str">
        <f t="shared" si="12"/>
        <v/>
      </c>
      <c r="N136" s="17"/>
      <c r="O136" s="21"/>
      <c r="P136" s="21"/>
      <c r="Q136" s="23"/>
      <c r="R136" s="17"/>
      <c r="S136" s="17"/>
      <c r="T136" s="17"/>
      <c r="U136" s="17"/>
      <c r="V136" s="17"/>
      <c r="W136" s="17"/>
      <c r="X136" s="17"/>
      <c r="Y136" s="17"/>
      <c r="Z136" s="25" t="str">
        <f t="shared" ca="1" si="13"/>
        <v/>
      </c>
      <c r="AA136" s="1" t="str">
        <f t="shared" si="14"/>
        <v/>
      </c>
      <c r="AB136" s="17"/>
      <c r="AC136" s="17"/>
      <c r="AD136" s="17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8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9" t="str">
        <f t="shared" si="12"/>
        <v/>
      </c>
      <c r="N137" s="17"/>
      <c r="O137" s="21"/>
      <c r="P137" s="21"/>
      <c r="Q137" s="23"/>
      <c r="R137" s="17"/>
      <c r="S137" s="17"/>
      <c r="T137" s="17"/>
      <c r="U137" s="17"/>
      <c r="V137" s="17"/>
      <c r="W137" s="17"/>
      <c r="X137" s="17"/>
      <c r="Y137" s="17"/>
      <c r="Z137" s="25" t="str">
        <f t="shared" ca="1" si="13"/>
        <v/>
      </c>
      <c r="AA137" s="1" t="str">
        <f t="shared" si="14"/>
        <v/>
      </c>
      <c r="AB137" s="17"/>
      <c r="AC137" s="17"/>
      <c r="AD137" s="17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8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9" t="str">
        <f t="shared" si="12"/>
        <v/>
      </c>
      <c r="N138" s="17"/>
      <c r="O138" s="21"/>
      <c r="P138" s="21"/>
      <c r="Q138" s="23"/>
      <c r="R138" s="17"/>
      <c r="S138" s="17"/>
      <c r="T138" s="17"/>
      <c r="U138" s="17"/>
      <c r="V138" s="17"/>
      <c r="W138" s="17"/>
      <c r="X138" s="17"/>
      <c r="Y138" s="17"/>
      <c r="Z138" s="25" t="str">
        <f t="shared" ca="1" si="13"/>
        <v/>
      </c>
      <c r="AA138" s="1" t="str">
        <f t="shared" si="14"/>
        <v/>
      </c>
      <c r="AB138" s="17"/>
      <c r="AC138" s="17"/>
      <c r="AD138" s="17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8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9" t="str">
        <f t="shared" si="12"/>
        <v/>
      </c>
      <c r="N139" s="17"/>
      <c r="O139" s="21"/>
      <c r="P139" s="21"/>
      <c r="Q139" s="23"/>
      <c r="R139" s="17"/>
      <c r="S139" s="17"/>
      <c r="T139" s="17"/>
      <c r="U139" s="17"/>
      <c r="V139" s="17"/>
      <c r="W139" s="17"/>
      <c r="X139" s="17"/>
      <c r="Y139" s="17"/>
      <c r="Z139" s="25" t="str">
        <f t="shared" ca="1" si="13"/>
        <v/>
      </c>
      <c r="AA139" s="1" t="str">
        <f t="shared" si="14"/>
        <v/>
      </c>
      <c r="AB139" s="17"/>
      <c r="AC139" s="17"/>
      <c r="AD139" s="17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8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9" t="str">
        <f t="shared" si="12"/>
        <v/>
      </c>
      <c r="N140" s="17"/>
      <c r="O140" s="21"/>
      <c r="P140" s="21"/>
      <c r="Q140" s="23"/>
      <c r="R140" s="17"/>
      <c r="S140" s="17"/>
      <c r="T140" s="17"/>
      <c r="U140" s="17"/>
      <c r="V140" s="17"/>
      <c r="W140" s="17"/>
      <c r="X140" s="17"/>
      <c r="Y140" s="17"/>
      <c r="Z140" s="25" t="str">
        <f t="shared" ca="1" si="13"/>
        <v/>
      </c>
      <c r="AA140" s="1" t="str">
        <f t="shared" si="14"/>
        <v/>
      </c>
      <c r="AB140" s="17"/>
      <c r="AC140" s="17"/>
      <c r="AD140" s="17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8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9" t="str">
        <f t="shared" si="12"/>
        <v/>
      </c>
      <c r="N141" s="17"/>
      <c r="O141" s="21"/>
      <c r="P141" s="21"/>
      <c r="Q141" s="23"/>
      <c r="R141" s="17"/>
      <c r="S141" s="17"/>
      <c r="T141" s="17"/>
      <c r="U141" s="17"/>
      <c r="V141" s="17"/>
      <c r="W141" s="17"/>
      <c r="X141" s="17"/>
      <c r="Y141" s="17"/>
      <c r="Z141" s="25" t="str">
        <f t="shared" ca="1" si="13"/>
        <v/>
      </c>
      <c r="AA141" s="1" t="str">
        <f t="shared" si="14"/>
        <v/>
      </c>
      <c r="AB141" s="17"/>
      <c r="AC141" s="17"/>
      <c r="AD141" s="17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8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9" t="str">
        <f t="shared" si="12"/>
        <v/>
      </c>
      <c r="N142" s="17"/>
      <c r="O142" s="21"/>
      <c r="P142" s="21"/>
      <c r="Q142" s="23"/>
      <c r="R142" s="17"/>
      <c r="S142" s="17"/>
      <c r="T142" s="17"/>
      <c r="U142" s="17"/>
      <c r="V142" s="17"/>
      <c r="W142" s="17"/>
      <c r="X142" s="17"/>
      <c r="Y142" s="17"/>
      <c r="Z142" s="25" t="str">
        <f t="shared" ca="1" si="13"/>
        <v/>
      </c>
      <c r="AA142" s="1" t="str">
        <f t="shared" si="14"/>
        <v/>
      </c>
      <c r="AB142" s="17"/>
      <c r="AC142" s="17"/>
      <c r="AD142" s="17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8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9" t="str">
        <f t="shared" si="12"/>
        <v/>
      </c>
      <c r="N143" s="17"/>
      <c r="O143" s="21"/>
      <c r="P143" s="21"/>
      <c r="Q143" s="23"/>
      <c r="R143" s="17"/>
      <c r="S143" s="17"/>
      <c r="T143" s="17"/>
      <c r="U143" s="17"/>
      <c r="V143" s="17"/>
      <c r="W143" s="17"/>
      <c r="X143" s="17"/>
      <c r="Y143" s="17"/>
      <c r="Z143" s="25" t="str">
        <f t="shared" ca="1" si="13"/>
        <v/>
      </c>
      <c r="AA143" s="1" t="str">
        <f t="shared" si="14"/>
        <v/>
      </c>
      <c r="AB143" s="17"/>
      <c r="AC143" s="17"/>
      <c r="AD143" s="17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8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9" t="str">
        <f t="shared" si="12"/>
        <v/>
      </c>
      <c r="N144" s="17"/>
      <c r="O144" s="21"/>
      <c r="P144" s="21"/>
      <c r="Q144" s="23"/>
      <c r="R144" s="17"/>
      <c r="S144" s="17"/>
      <c r="T144" s="17"/>
      <c r="U144" s="17"/>
      <c r="V144" s="17"/>
      <c r="W144" s="17"/>
      <c r="X144" s="17"/>
      <c r="Y144" s="17"/>
      <c r="Z144" s="25" t="str">
        <f t="shared" ca="1" si="13"/>
        <v/>
      </c>
      <c r="AA144" s="1" t="str">
        <f t="shared" si="14"/>
        <v/>
      </c>
      <c r="AB144" s="17"/>
      <c r="AC144" s="17"/>
      <c r="AD144" s="17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8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9" t="str">
        <f t="shared" si="12"/>
        <v/>
      </c>
      <c r="N145" s="17"/>
      <c r="O145" s="21"/>
      <c r="P145" s="21"/>
      <c r="Q145" s="23"/>
      <c r="R145" s="17"/>
      <c r="S145" s="17"/>
      <c r="T145" s="17"/>
      <c r="U145" s="17"/>
      <c r="V145" s="17"/>
      <c r="W145" s="17"/>
      <c r="X145" s="17"/>
      <c r="Y145" s="17"/>
      <c r="Z145" s="25" t="str">
        <f t="shared" ca="1" si="13"/>
        <v/>
      </c>
      <c r="AA145" s="1" t="str">
        <f t="shared" si="14"/>
        <v/>
      </c>
      <c r="AB145" s="17"/>
      <c r="AC145" s="17"/>
      <c r="AD145" s="17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8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9" t="str">
        <f t="shared" si="12"/>
        <v/>
      </c>
      <c r="N146" s="17"/>
      <c r="O146" s="21"/>
      <c r="P146" s="21"/>
      <c r="Q146" s="23"/>
      <c r="R146" s="17"/>
      <c r="S146" s="17"/>
      <c r="T146" s="17"/>
      <c r="U146" s="17"/>
      <c r="V146" s="17"/>
      <c r="W146" s="17"/>
      <c r="X146" s="17"/>
      <c r="Y146" s="17"/>
      <c r="Z146" s="25" t="str">
        <f t="shared" ca="1" si="13"/>
        <v/>
      </c>
      <c r="AA146" s="1" t="str">
        <f t="shared" si="14"/>
        <v/>
      </c>
      <c r="AB146" s="17"/>
      <c r="AC146" s="17"/>
      <c r="AD146" s="17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8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9" t="str">
        <f t="shared" si="12"/>
        <v/>
      </c>
      <c r="N147" s="17"/>
      <c r="O147" s="21"/>
      <c r="P147" s="21"/>
      <c r="Q147" s="23"/>
      <c r="R147" s="17"/>
      <c r="S147" s="17"/>
      <c r="T147" s="17"/>
      <c r="U147" s="17"/>
      <c r="V147" s="17"/>
      <c r="W147" s="17"/>
      <c r="X147" s="17"/>
      <c r="Y147" s="17"/>
      <c r="Z147" s="25" t="str">
        <f t="shared" ca="1" si="13"/>
        <v/>
      </c>
      <c r="AA147" s="1" t="str">
        <f t="shared" si="14"/>
        <v/>
      </c>
      <c r="AB147" s="17"/>
      <c r="AC147" s="17"/>
      <c r="AD147" s="17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8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9" t="str">
        <f t="shared" si="12"/>
        <v/>
      </c>
      <c r="N148" s="17"/>
      <c r="O148" s="21"/>
      <c r="P148" s="21"/>
      <c r="Q148" s="23"/>
      <c r="R148" s="17"/>
      <c r="S148" s="17"/>
      <c r="T148" s="17"/>
      <c r="U148" s="17"/>
      <c r="V148" s="17"/>
      <c r="W148" s="17"/>
      <c r="X148" s="17"/>
      <c r="Y148" s="17"/>
      <c r="Z148" s="25" t="str">
        <f t="shared" ca="1" si="13"/>
        <v/>
      </c>
      <c r="AA148" s="1" t="str">
        <f t="shared" si="14"/>
        <v/>
      </c>
      <c r="AB148" s="17"/>
      <c r="AC148" s="17"/>
      <c r="AD148" s="17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8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9" t="str">
        <f t="shared" si="12"/>
        <v/>
      </c>
      <c r="N149" s="17"/>
      <c r="O149" s="21"/>
      <c r="P149" s="21"/>
      <c r="Q149" s="23"/>
      <c r="R149" s="17"/>
      <c r="S149" s="17"/>
      <c r="T149" s="17"/>
      <c r="U149" s="17"/>
      <c r="V149" s="17"/>
      <c r="W149" s="17"/>
      <c r="X149" s="17"/>
      <c r="Y149" s="17"/>
      <c r="Z149" s="25" t="str">
        <f t="shared" ca="1" si="13"/>
        <v/>
      </c>
      <c r="AA149" s="1" t="str">
        <f t="shared" si="14"/>
        <v/>
      </c>
      <c r="AB149" s="17"/>
      <c r="AC149" s="17"/>
      <c r="AD149" s="17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8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9" t="str">
        <f t="shared" si="12"/>
        <v/>
      </c>
      <c r="N150" s="17"/>
      <c r="O150" s="21"/>
      <c r="P150" s="21"/>
      <c r="Q150" s="23"/>
      <c r="R150" s="17"/>
      <c r="S150" s="17"/>
      <c r="T150" s="17"/>
      <c r="U150" s="17"/>
      <c r="V150" s="17"/>
      <c r="W150" s="17"/>
      <c r="X150" s="17"/>
      <c r="Y150" s="17"/>
      <c r="Z150" s="25" t="str">
        <f t="shared" ca="1" si="13"/>
        <v/>
      </c>
      <c r="AA150" s="1" t="str">
        <f t="shared" si="14"/>
        <v/>
      </c>
      <c r="AB150" s="17"/>
      <c r="AC150" s="17"/>
      <c r="AD150" s="17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8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9" t="str">
        <f t="shared" si="12"/>
        <v/>
      </c>
      <c r="N151" s="17"/>
      <c r="O151" s="21"/>
      <c r="P151" s="21"/>
      <c r="Q151" s="23"/>
      <c r="R151" s="17"/>
      <c r="S151" s="17"/>
      <c r="T151" s="17"/>
      <c r="U151" s="17"/>
      <c r="V151" s="17"/>
      <c r="W151" s="17"/>
      <c r="X151" s="17"/>
      <c r="Y151" s="17"/>
      <c r="Z151" s="25" t="str">
        <f t="shared" ca="1" si="13"/>
        <v/>
      </c>
      <c r="AA151" s="1" t="str">
        <f t="shared" si="14"/>
        <v/>
      </c>
      <c r="AB151" s="17"/>
      <c r="AC151" s="17"/>
      <c r="AD151" s="17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8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9" t="str">
        <f t="shared" si="12"/>
        <v/>
      </c>
      <c r="N152" s="17"/>
      <c r="O152" s="21"/>
      <c r="P152" s="21"/>
      <c r="Q152" s="23"/>
      <c r="R152" s="17"/>
      <c r="S152" s="17"/>
      <c r="T152" s="17"/>
      <c r="U152" s="17"/>
      <c r="V152" s="17"/>
      <c r="W152" s="17"/>
      <c r="X152" s="17"/>
      <c r="Y152" s="17"/>
      <c r="Z152" s="25" t="str">
        <f t="shared" ca="1" si="13"/>
        <v/>
      </c>
      <c r="AA152" s="1" t="str">
        <f t="shared" si="14"/>
        <v/>
      </c>
      <c r="AB152" s="17"/>
      <c r="AC152" s="17"/>
      <c r="AD152" s="17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8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9" t="str">
        <f t="shared" si="12"/>
        <v/>
      </c>
      <c r="N153" s="17"/>
      <c r="O153" s="21"/>
      <c r="P153" s="21"/>
      <c r="Q153" s="23"/>
      <c r="R153" s="17"/>
      <c r="S153" s="17"/>
      <c r="T153" s="17"/>
      <c r="U153" s="17"/>
      <c r="V153" s="17"/>
      <c r="W153" s="17"/>
      <c r="X153" s="17"/>
      <c r="Y153" s="17"/>
      <c r="Z153" s="25" t="str">
        <f t="shared" ca="1" si="13"/>
        <v/>
      </c>
      <c r="AA153" s="1" t="str">
        <f t="shared" si="14"/>
        <v/>
      </c>
      <c r="AB153" s="17"/>
      <c r="AC153" s="17"/>
      <c r="AD153" s="17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8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9" t="str">
        <f t="shared" si="12"/>
        <v/>
      </c>
      <c r="N154" s="17"/>
      <c r="O154" s="21"/>
      <c r="P154" s="21"/>
      <c r="Q154" s="23"/>
      <c r="R154" s="17"/>
      <c r="S154" s="17"/>
      <c r="T154" s="17"/>
      <c r="U154" s="17"/>
      <c r="V154" s="17"/>
      <c r="W154" s="17"/>
      <c r="X154" s="17"/>
      <c r="Y154" s="17"/>
      <c r="Z154" s="25" t="str">
        <f t="shared" ca="1" si="13"/>
        <v/>
      </c>
      <c r="AA154" s="1" t="str">
        <f t="shared" si="14"/>
        <v/>
      </c>
      <c r="AB154" s="17"/>
      <c r="AC154" s="17"/>
      <c r="AD154" s="17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8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9" t="str">
        <f t="shared" si="12"/>
        <v/>
      </c>
      <c r="N155" s="17"/>
      <c r="O155" s="21"/>
      <c r="P155" s="21"/>
      <c r="Q155" s="23"/>
      <c r="R155" s="17"/>
      <c r="S155" s="17"/>
      <c r="T155" s="17"/>
      <c r="U155" s="17"/>
      <c r="V155" s="17"/>
      <c r="W155" s="17"/>
      <c r="X155" s="17"/>
      <c r="Y155" s="17"/>
      <c r="Z155" s="25" t="str">
        <f t="shared" ca="1" si="13"/>
        <v/>
      </c>
      <c r="AA155" s="1" t="str">
        <f t="shared" si="14"/>
        <v/>
      </c>
      <c r="AB155" s="17"/>
      <c r="AC155" s="17"/>
      <c r="AD155" s="17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8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9" t="str">
        <f t="shared" si="12"/>
        <v/>
      </c>
      <c r="N156" s="17"/>
      <c r="O156" s="21"/>
      <c r="P156" s="21"/>
      <c r="Q156" s="23"/>
      <c r="R156" s="17"/>
      <c r="S156" s="17"/>
      <c r="T156" s="17"/>
      <c r="U156" s="17"/>
      <c r="V156" s="17"/>
      <c r="W156" s="17"/>
      <c r="X156" s="17"/>
      <c r="Y156" s="17"/>
      <c r="Z156" s="25" t="str">
        <f t="shared" ca="1" si="13"/>
        <v/>
      </c>
      <c r="AA156" s="1" t="str">
        <f t="shared" si="14"/>
        <v/>
      </c>
      <c r="AB156" s="17"/>
      <c r="AC156" s="17"/>
      <c r="AD156" s="17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8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9" t="str">
        <f t="shared" si="12"/>
        <v/>
      </c>
      <c r="N157" s="17"/>
      <c r="O157" s="21"/>
      <c r="P157" s="21"/>
      <c r="Q157" s="23"/>
      <c r="R157" s="17"/>
      <c r="S157" s="17"/>
      <c r="T157" s="17"/>
      <c r="U157" s="17"/>
      <c r="V157" s="17"/>
      <c r="W157" s="17"/>
      <c r="X157" s="17"/>
      <c r="Y157" s="17"/>
      <c r="Z157" s="25" t="str">
        <f t="shared" ca="1" si="13"/>
        <v/>
      </c>
      <c r="AA157" s="1" t="str">
        <f t="shared" si="14"/>
        <v/>
      </c>
      <c r="AB157" s="17"/>
      <c r="AC157" s="17"/>
      <c r="AD157" s="17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8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9" t="str">
        <f t="shared" si="12"/>
        <v/>
      </c>
      <c r="N158" s="17"/>
      <c r="O158" s="21"/>
      <c r="P158" s="21"/>
      <c r="Q158" s="23"/>
      <c r="R158" s="17"/>
      <c r="S158" s="17"/>
      <c r="T158" s="17"/>
      <c r="U158" s="17"/>
      <c r="V158" s="17"/>
      <c r="W158" s="17"/>
      <c r="X158" s="17"/>
      <c r="Y158" s="17"/>
      <c r="Z158" s="25" t="str">
        <f t="shared" ca="1" si="13"/>
        <v/>
      </c>
      <c r="AA158" s="1" t="str">
        <f t="shared" si="14"/>
        <v/>
      </c>
      <c r="AB158" s="17"/>
      <c r="AC158" s="17"/>
      <c r="AD158" s="17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8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9" t="str">
        <f t="shared" si="12"/>
        <v/>
      </c>
      <c r="N159" s="17"/>
      <c r="O159" s="21"/>
      <c r="P159" s="21"/>
      <c r="Q159" s="23"/>
      <c r="R159" s="17"/>
      <c r="S159" s="17"/>
      <c r="T159" s="17"/>
      <c r="U159" s="17"/>
      <c r="V159" s="17"/>
      <c r="W159" s="17"/>
      <c r="X159" s="17"/>
      <c r="Y159" s="17"/>
      <c r="Z159" s="25" t="str">
        <f t="shared" ca="1" si="13"/>
        <v/>
      </c>
      <c r="AA159" s="1" t="str">
        <f t="shared" si="14"/>
        <v/>
      </c>
      <c r="AB159" s="17"/>
      <c r="AC159" s="17"/>
      <c r="AD159" s="17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8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9" t="str">
        <f t="shared" si="12"/>
        <v/>
      </c>
      <c r="N160" s="17"/>
      <c r="O160" s="21"/>
      <c r="P160" s="21"/>
      <c r="Q160" s="23"/>
      <c r="R160" s="17"/>
      <c r="S160" s="17"/>
      <c r="T160" s="17"/>
      <c r="U160" s="17"/>
      <c r="V160" s="17"/>
      <c r="W160" s="17"/>
      <c r="X160" s="17"/>
      <c r="Y160" s="17"/>
      <c r="Z160" s="25" t="str">
        <f t="shared" ca="1" si="13"/>
        <v/>
      </c>
      <c r="AA160" s="1" t="str">
        <f t="shared" si="14"/>
        <v/>
      </c>
      <c r="AB160" s="17"/>
      <c r="AC160" s="17"/>
      <c r="AD160" s="1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8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9" t="str">
        <f t="shared" si="12"/>
        <v/>
      </c>
      <c r="N161" s="17"/>
      <c r="O161" s="21"/>
      <c r="P161" s="21"/>
      <c r="Q161" s="23"/>
      <c r="R161" s="17"/>
      <c r="S161" s="17"/>
      <c r="T161" s="17"/>
      <c r="U161" s="17"/>
      <c r="V161" s="17"/>
      <c r="W161" s="17"/>
      <c r="X161" s="17"/>
      <c r="Y161" s="17"/>
      <c r="Z161" s="25" t="str">
        <f t="shared" ca="1" si="13"/>
        <v/>
      </c>
      <c r="AA161" s="1" t="str">
        <f t="shared" si="14"/>
        <v/>
      </c>
      <c r="AB161" s="17"/>
      <c r="AC161" s="17"/>
      <c r="AD161" s="1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8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9" t="str">
        <f t="shared" si="12"/>
        <v/>
      </c>
      <c r="N162" s="17"/>
      <c r="O162" s="21"/>
      <c r="P162" s="21"/>
      <c r="Q162" s="23"/>
      <c r="R162" s="17"/>
      <c r="S162" s="17"/>
      <c r="T162" s="17"/>
      <c r="U162" s="17"/>
      <c r="V162" s="17"/>
      <c r="W162" s="17"/>
      <c r="X162" s="17"/>
      <c r="Y162" s="17"/>
      <c r="Z162" s="25" t="str">
        <f t="shared" ca="1" si="13"/>
        <v/>
      </c>
      <c r="AA162" s="1" t="str">
        <f t="shared" si="14"/>
        <v/>
      </c>
      <c r="AB162" s="17"/>
      <c r="AC162" s="17"/>
      <c r="AD162" s="1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8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9" t="str">
        <f t="shared" si="12"/>
        <v/>
      </c>
      <c r="N163" s="17"/>
      <c r="O163" s="21"/>
      <c r="P163" s="21"/>
      <c r="Q163" s="23"/>
      <c r="R163" s="17"/>
      <c r="S163" s="17"/>
      <c r="T163" s="17"/>
      <c r="U163" s="17"/>
      <c r="V163" s="17"/>
      <c r="W163" s="17"/>
      <c r="X163" s="17"/>
      <c r="Y163" s="17"/>
      <c r="Z163" s="25" t="str">
        <f t="shared" ca="1" si="13"/>
        <v/>
      </c>
      <c r="AA163" s="1" t="str">
        <f t="shared" si="14"/>
        <v/>
      </c>
      <c r="AB163" s="17"/>
      <c r="AC163" s="17"/>
      <c r="AD163" s="1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8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9" t="str">
        <f t="shared" si="12"/>
        <v/>
      </c>
      <c r="N164" s="17"/>
      <c r="O164" s="21"/>
      <c r="P164" s="21"/>
      <c r="Q164" s="23"/>
      <c r="R164" s="17"/>
      <c r="S164" s="17"/>
      <c r="T164" s="17"/>
      <c r="U164" s="17"/>
      <c r="V164" s="17"/>
      <c r="W164" s="17"/>
      <c r="X164" s="17"/>
      <c r="Y164" s="17"/>
      <c r="Z164" s="25" t="str">
        <f t="shared" ca="1" si="13"/>
        <v/>
      </c>
      <c r="AA164" s="1" t="str">
        <f t="shared" si="14"/>
        <v/>
      </c>
      <c r="AB164" s="17"/>
      <c r="AC164" s="17"/>
      <c r="AD164" s="1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8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9" t="str">
        <f t="shared" si="12"/>
        <v/>
      </c>
      <c r="N165" s="17"/>
      <c r="O165" s="21"/>
      <c r="P165" s="21"/>
      <c r="Q165" s="23"/>
      <c r="R165" s="17"/>
      <c r="S165" s="17"/>
      <c r="T165" s="17"/>
      <c r="U165" s="17"/>
      <c r="V165" s="17"/>
      <c r="W165" s="17"/>
      <c r="X165" s="17"/>
      <c r="Y165" s="17"/>
      <c r="Z165" s="25" t="str">
        <f t="shared" ca="1" si="13"/>
        <v/>
      </c>
      <c r="AA165" s="1" t="str">
        <f t="shared" si="14"/>
        <v/>
      </c>
      <c r="AB165" s="17"/>
      <c r="AC165" s="17"/>
      <c r="AD165" s="1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8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9" t="str">
        <f t="shared" si="12"/>
        <v/>
      </c>
      <c r="N166" s="17"/>
      <c r="O166" s="21"/>
      <c r="P166" s="21"/>
      <c r="Q166" s="23"/>
      <c r="R166" s="17"/>
      <c r="S166" s="17"/>
      <c r="T166" s="17"/>
      <c r="U166" s="17"/>
      <c r="V166" s="17"/>
      <c r="W166" s="17"/>
      <c r="X166" s="17"/>
      <c r="Y166" s="17"/>
      <c r="Z166" s="25" t="str">
        <f t="shared" ca="1" si="13"/>
        <v/>
      </c>
      <c r="AA166" s="1" t="str">
        <f t="shared" si="14"/>
        <v/>
      </c>
      <c r="AB166" s="17"/>
      <c r="AC166" s="17"/>
      <c r="AD166" s="1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8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9" t="str">
        <f t="shared" ref="M167:M198" si="15">IF(OR(K167="",K167=0,L167=""),"",L167/K167)</f>
        <v/>
      </c>
      <c r="N167" s="17"/>
      <c r="O167" s="21"/>
      <c r="P167" s="21"/>
      <c r="Q167" s="23"/>
      <c r="R167" s="17"/>
      <c r="S167" s="17"/>
      <c r="T167" s="17"/>
      <c r="U167" s="17"/>
      <c r="V167" s="17"/>
      <c r="W167" s="17"/>
      <c r="X167" s="17"/>
      <c r="Y167" s="17"/>
      <c r="Z167" s="25" t="str">
        <f t="shared" ref="Z167:Z198" ca="1" si="16">IF(P167="","",P167-TODAY())</f>
        <v/>
      </c>
      <c r="AA167" s="1" t="str">
        <f t="shared" ref="AA167:AA198" si="17">IF(P167="","",IF(Y167&lt;&gt;"Active","Inactive",IF(Z167&lt;0,"Expired",IF(Z167&lt;=30,"Due within 30 days",IF(Z167&lt;=60,"Due in 31-60 days",IF(Z167&lt;=90,"Due in 61-90 days","Later"))))))</f>
        <v/>
      </c>
      <c r="AB167" s="17"/>
      <c r="AC167" s="17"/>
      <c r="AD167" s="1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8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9" t="str">
        <f t="shared" si="15"/>
        <v/>
      </c>
      <c r="N168" s="17"/>
      <c r="O168" s="21"/>
      <c r="P168" s="21"/>
      <c r="Q168" s="23"/>
      <c r="R168" s="17"/>
      <c r="S168" s="17"/>
      <c r="T168" s="17"/>
      <c r="U168" s="17"/>
      <c r="V168" s="17"/>
      <c r="W168" s="17"/>
      <c r="X168" s="17"/>
      <c r="Y168" s="17"/>
      <c r="Z168" s="25" t="str">
        <f t="shared" ca="1" si="16"/>
        <v/>
      </c>
      <c r="AA168" s="1" t="str">
        <f t="shared" si="17"/>
        <v/>
      </c>
      <c r="AB168" s="17"/>
      <c r="AC168" s="17"/>
      <c r="AD168" s="1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8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9" t="str">
        <f t="shared" si="15"/>
        <v/>
      </c>
      <c r="N169" s="17"/>
      <c r="O169" s="21"/>
      <c r="P169" s="21"/>
      <c r="Q169" s="23"/>
      <c r="R169" s="17"/>
      <c r="S169" s="17"/>
      <c r="T169" s="17"/>
      <c r="U169" s="17"/>
      <c r="V169" s="17"/>
      <c r="W169" s="17"/>
      <c r="X169" s="17"/>
      <c r="Y169" s="17"/>
      <c r="Z169" s="25" t="str">
        <f t="shared" ca="1" si="16"/>
        <v/>
      </c>
      <c r="AA169" s="1" t="str">
        <f t="shared" si="17"/>
        <v/>
      </c>
      <c r="AB169" s="17"/>
      <c r="AC169" s="17"/>
      <c r="AD169" s="1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8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9" t="str">
        <f t="shared" si="15"/>
        <v/>
      </c>
      <c r="N170" s="17"/>
      <c r="O170" s="21"/>
      <c r="P170" s="21"/>
      <c r="Q170" s="23"/>
      <c r="R170" s="17"/>
      <c r="S170" s="17"/>
      <c r="T170" s="17"/>
      <c r="U170" s="17"/>
      <c r="V170" s="17"/>
      <c r="W170" s="17"/>
      <c r="X170" s="17"/>
      <c r="Y170" s="17"/>
      <c r="Z170" s="25" t="str">
        <f t="shared" ca="1" si="16"/>
        <v/>
      </c>
      <c r="AA170" s="1" t="str">
        <f t="shared" si="17"/>
        <v/>
      </c>
      <c r="AB170" s="17"/>
      <c r="AC170" s="17"/>
      <c r="AD170" s="1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8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9" t="str">
        <f t="shared" si="15"/>
        <v/>
      </c>
      <c r="N171" s="17"/>
      <c r="O171" s="21"/>
      <c r="P171" s="21"/>
      <c r="Q171" s="23"/>
      <c r="R171" s="17"/>
      <c r="S171" s="17"/>
      <c r="T171" s="17"/>
      <c r="U171" s="17"/>
      <c r="V171" s="17"/>
      <c r="W171" s="17"/>
      <c r="X171" s="17"/>
      <c r="Y171" s="17"/>
      <c r="Z171" s="25" t="str">
        <f t="shared" ca="1" si="16"/>
        <v/>
      </c>
      <c r="AA171" s="1" t="str">
        <f t="shared" si="17"/>
        <v/>
      </c>
      <c r="AB171" s="17"/>
      <c r="AC171" s="17"/>
      <c r="AD171" s="17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8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9" t="str">
        <f t="shared" si="15"/>
        <v/>
      </c>
      <c r="N172" s="17"/>
      <c r="O172" s="21"/>
      <c r="P172" s="21"/>
      <c r="Q172" s="23"/>
      <c r="R172" s="17"/>
      <c r="S172" s="17"/>
      <c r="T172" s="17"/>
      <c r="U172" s="17"/>
      <c r="V172" s="17"/>
      <c r="W172" s="17"/>
      <c r="X172" s="17"/>
      <c r="Y172" s="17"/>
      <c r="Z172" s="25" t="str">
        <f t="shared" ca="1" si="16"/>
        <v/>
      </c>
      <c r="AA172" s="1" t="str">
        <f t="shared" si="17"/>
        <v/>
      </c>
      <c r="AB172" s="17"/>
      <c r="AC172" s="17"/>
      <c r="AD172" s="17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8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9" t="str">
        <f t="shared" si="15"/>
        <v/>
      </c>
      <c r="N173" s="17"/>
      <c r="O173" s="21"/>
      <c r="P173" s="21"/>
      <c r="Q173" s="23"/>
      <c r="R173" s="17"/>
      <c r="S173" s="17"/>
      <c r="T173" s="17"/>
      <c r="U173" s="17"/>
      <c r="V173" s="17"/>
      <c r="W173" s="17"/>
      <c r="X173" s="17"/>
      <c r="Y173" s="17"/>
      <c r="Z173" s="25" t="str">
        <f t="shared" ca="1" si="16"/>
        <v/>
      </c>
      <c r="AA173" s="1" t="str">
        <f t="shared" si="17"/>
        <v/>
      </c>
      <c r="AB173" s="17"/>
      <c r="AC173" s="17"/>
      <c r="AD173" s="17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8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9" t="str">
        <f t="shared" si="15"/>
        <v/>
      </c>
      <c r="N174" s="17"/>
      <c r="O174" s="21"/>
      <c r="P174" s="21"/>
      <c r="Q174" s="23"/>
      <c r="R174" s="17"/>
      <c r="S174" s="17"/>
      <c r="T174" s="17"/>
      <c r="U174" s="17"/>
      <c r="V174" s="17"/>
      <c r="W174" s="17"/>
      <c r="X174" s="17"/>
      <c r="Y174" s="17"/>
      <c r="Z174" s="25" t="str">
        <f t="shared" ca="1" si="16"/>
        <v/>
      </c>
      <c r="AA174" s="1" t="str">
        <f t="shared" si="17"/>
        <v/>
      </c>
      <c r="AB174" s="17"/>
      <c r="AC174" s="17"/>
      <c r="AD174" s="17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8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9" t="str">
        <f t="shared" si="15"/>
        <v/>
      </c>
      <c r="N175" s="17"/>
      <c r="O175" s="21"/>
      <c r="P175" s="21"/>
      <c r="Q175" s="23"/>
      <c r="R175" s="17"/>
      <c r="S175" s="17"/>
      <c r="T175" s="17"/>
      <c r="U175" s="17"/>
      <c r="V175" s="17"/>
      <c r="W175" s="17"/>
      <c r="X175" s="17"/>
      <c r="Y175" s="17"/>
      <c r="Z175" s="25" t="str">
        <f t="shared" ca="1" si="16"/>
        <v/>
      </c>
      <c r="AA175" s="1" t="str">
        <f t="shared" si="17"/>
        <v/>
      </c>
      <c r="AB175" s="17"/>
      <c r="AC175" s="17"/>
      <c r="AD175" s="17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8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9" t="str">
        <f t="shared" si="15"/>
        <v/>
      </c>
      <c r="N176" s="17"/>
      <c r="O176" s="21"/>
      <c r="P176" s="21"/>
      <c r="Q176" s="23"/>
      <c r="R176" s="17"/>
      <c r="S176" s="17"/>
      <c r="T176" s="17"/>
      <c r="U176" s="17"/>
      <c r="V176" s="17"/>
      <c r="W176" s="17"/>
      <c r="X176" s="17"/>
      <c r="Y176" s="17"/>
      <c r="Z176" s="25" t="str">
        <f t="shared" ca="1" si="16"/>
        <v/>
      </c>
      <c r="AA176" s="1" t="str">
        <f t="shared" si="17"/>
        <v/>
      </c>
      <c r="AB176" s="17"/>
      <c r="AC176" s="17"/>
      <c r="AD176" s="17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8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9" t="str">
        <f t="shared" si="15"/>
        <v/>
      </c>
      <c r="N177" s="17"/>
      <c r="O177" s="21"/>
      <c r="P177" s="21"/>
      <c r="Q177" s="23"/>
      <c r="R177" s="17"/>
      <c r="S177" s="17"/>
      <c r="T177" s="17"/>
      <c r="U177" s="17"/>
      <c r="V177" s="17"/>
      <c r="W177" s="17"/>
      <c r="X177" s="17"/>
      <c r="Y177" s="17"/>
      <c r="Z177" s="25" t="str">
        <f t="shared" ca="1" si="16"/>
        <v/>
      </c>
      <c r="AA177" s="1" t="str">
        <f t="shared" si="17"/>
        <v/>
      </c>
      <c r="AB177" s="17"/>
      <c r="AC177" s="17"/>
      <c r="AD177" s="17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8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9" t="str">
        <f t="shared" si="15"/>
        <v/>
      </c>
      <c r="N178" s="17"/>
      <c r="O178" s="21"/>
      <c r="P178" s="21"/>
      <c r="Q178" s="23"/>
      <c r="R178" s="17"/>
      <c r="S178" s="17"/>
      <c r="T178" s="17"/>
      <c r="U178" s="17"/>
      <c r="V178" s="17"/>
      <c r="W178" s="17"/>
      <c r="X178" s="17"/>
      <c r="Y178" s="17"/>
      <c r="Z178" s="25" t="str">
        <f t="shared" ca="1" si="16"/>
        <v/>
      </c>
      <c r="AA178" s="1" t="str">
        <f t="shared" si="17"/>
        <v/>
      </c>
      <c r="AB178" s="17"/>
      <c r="AC178" s="17"/>
      <c r="AD178" s="17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8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9" t="str">
        <f t="shared" si="15"/>
        <v/>
      </c>
      <c r="N179" s="17"/>
      <c r="O179" s="21"/>
      <c r="P179" s="21"/>
      <c r="Q179" s="23"/>
      <c r="R179" s="17"/>
      <c r="S179" s="17"/>
      <c r="T179" s="17"/>
      <c r="U179" s="17"/>
      <c r="V179" s="17"/>
      <c r="W179" s="17"/>
      <c r="X179" s="17"/>
      <c r="Y179" s="17"/>
      <c r="Z179" s="25" t="str">
        <f t="shared" ca="1" si="16"/>
        <v/>
      </c>
      <c r="AA179" s="1" t="str">
        <f t="shared" si="17"/>
        <v/>
      </c>
      <c r="AB179" s="17"/>
      <c r="AC179" s="17"/>
      <c r="AD179" s="17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8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9" t="str">
        <f t="shared" si="15"/>
        <v/>
      </c>
      <c r="N180" s="17"/>
      <c r="O180" s="21"/>
      <c r="P180" s="21"/>
      <c r="Q180" s="23"/>
      <c r="R180" s="17"/>
      <c r="S180" s="17"/>
      <c r="T180" s="17"/>
      <c r="U180" s="17"/>
      <c r="V180" s="17"/>
      <c r="W180" s="17"/>
      <c r="X180" s="17"/>
      <c r="Y180" s="17"/>
      <c r="Z180" s="25" t="str">
        <f t="shared" ca="1" si="16"/>
        <v/>
      </c>
      <c r="AA180" s="1" t="str">
        <f t="shared" si="17"/>
        <v/>
      </c>
      <c r="AB180" s="17"/>
      <c r="AC180" s="17"/>
      <c r="AD180" s="17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8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9" t="str">
        <f t="shared" si="15"/>
        <v/>
      </c>
      <c r="N181" s="17"/>
      <c r="O181" s="21"/>
      <c r="P181" s="21"/>
      <c r="Q181" s="23"/>
      <c r="R181" s="17"/>
      <c r="S181" s="17"/>
      <c r="T181" s="17"/>
      <c r="U181" s="17"/>
      <c r="V181" s="17"/>
      <c r="W181" s="17"/>
      <c r="X181" s="17"/>
      <c r="Y181" s="17"/>
      <c r="Z181" s="25" t="str">
        <f t="shared" ca="1" si="16"/>
        <v/>
      </c>
      <c r="AA181" s="1" t="str">
        <f t="shared" si="17"/>
        <v/>
      </c>
      <c r="AB181" s="17"/>
      <c r="AC181" s="17"/>
      <c r="AD181" s="17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8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9" t="str">
        <f t="shared" si="15"/>
        <v/>
      </c>
      <c r="N182" s="17"/>
      <c r="O182" s="21"/>
      <c r="P182" s="21"/>
      <c r="Q182" s="23"/>
      <c r="R182" s="17"/>
      <c r="S182" s="17"/>
      <c r="T182" s="17"/>
      <c r="U182" s="17"/>
      <c r="V182" s="17"/>
      <c r="W182" s="17"/>
      <c r="X182" s="17"/>
      <c r="Y182" s="17"/>
      <c r="Z182" s="25" t="str">
        <f t="shared" ca="1" si="16"/>
        <v/>
      </c>
      <c r="AA182" s="1" t="str">
        <f t="shared" si="17"/>
        <v/>
      </c>
      <c r="AB182" s="17"/>
      <c r="AC182" s="17"/>
      <c r="AD182" s="17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8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9" t="str">
        <f t="shared" si="15"/>
        <v/>
      </c>
      <c r="N183" s="17"/>
      <c r="O183" s="21"/>
      <c r="P183" s="21"/>
      <c r="Q183" s="23"/>
      <c r="R183" s="17"/>
      <c r="S183" s="17"/>
      <c r="T183" s="17"/>
      <c r="U183" s="17"/>
      <c r="V183" s="17"/>
      <c r="W183" s="17"/>
      <c r="X183" s="17"/>
      <c r="Y183" s="17"/>
      <c r="Z183" s="25" t="str">
        <f t="shared" ca="1" si="16"/>
        <v/>
      </c>
      <c r="AA183" s="1" t="str">
        <f t="shared" si="17"/>
        <v/>
      </c>
      <c r="AB183" s="17"/>
      <c r="AC183" s="17"/>
      <c r="AD183" s="17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8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9" t="str">
        <f t="shared" si="15"/>
        <v/>
      </c>
      <c r="N184" s="17"/>
      <c r="O184" s="21"/>
      <c r="P184" s="21"/>
      <c r="Q184" s="23"/>
      <c r="R184" s="17"/>
      <c r="S184" s="17"/>
      <c r="T184" s="17"/>
      <c r="U184" s="17"/>
      <c r="V184" s="17"/>
      <c r="W184" s="17"/>
      <c r="X184" s="17"/>
      <c r="Y184" s="17"/>
      <c r="Z184" s="25" t="str">
        <f t="shared" ca="1" si="16"/>
        <v/>
      </c>
      <c r="AA184" s="1" t="str">
        <f t="shared" si="17"/>
        <v/>
      </c>
      <c r="AB184" s="17"/>
      <c r="AC184" s="17"/>
      <c r="AD184" s="17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8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9" t="str">
        <f t="shared" si="15"/>
        <v/>
      </c>
      <c r="N185" s="17"/>
      <c r="O185" s="21"/>
      <c r="P185" s="21"/>
      <c r="Q185" s="23"/>
      <c r="R185" s="17"/>
      <c r="S185" s="17"/>
      <c r="T185" s="17"/>
      <c r="U185" s="17"/>
      <c r="V185" s="17"/>
      <c r="W185" s="17"/>
      <c r="X185" s="17"/>
      <c r="Y185" s="17"/>
      <c r="Z185" s="25" t="str">
        <f t="shared" ca="1" si="16"/>
        <v/>
      </c>
      <c r="AA185" s="1" t="str">
        <f t="shared" si="17"/>
        <v/>
      </c>
      <c r="AB185" s="17"/>
      <c r="AC185" s="17"/>
      <c r="AD185" s="17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8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9" t="str">
        <f t="shared" si="15"/>
        <v/>
      </c>
      <c r="N186" s="17"/>
      <c r="O186" s="21"/>
      <c r="P186" s="21"/>
      <c r="Q186" s="23"/>
      <c r="R186" s="17"/>
      <c r="S186" s="17"/>
      <c r="T186" s="17"/>
      <c r="U186" s="17"/>
      <c r="V186" s="17"/>
      <c r="W186" s="17"/>
      <c r="X186" s="17"/>
      <c r="Y186" s="17"/>
      <c r="Z186" s="25" t="str">
        <f t="shared" ca="1" si="16"/>
        <v/>
      </c>
      <c r="AA186" s="1" t="str">
        <f t="shared" si="17"/>
        <v/>
      </c>
      <c r="AB186" s="17"/>
      <c r="AC186" s="17"/>
      <c r="AD186" s="17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8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9" t="str">
        <f t="shared" si="15"/>
        <v/>
      </c>
      <c r="N187" s="17"/>
      <c r="O187" s="21"/>
      <c r="P187" s="21"/>
      <c r="Q187" s="23"/>
      <c r="R187" s="17"/>
      <c r="S187" s="17"/>
      <c r="T187" s="17"/>
      <c r="U187" s="17"/>
      <c r="V187" s="17"/>
      <c r="W187" s="17"/>
      <c r="X187" s="17"/>
      <c r="Y187" s="17"/>
      <c r="Z187" s="25" t="str">
        <f t="shared" ca="1" si="16"/>
        <v/>
      </c>
      <c r="AA187" s="1" t="str">
        <f t="shared" si="17"/>
        <v/>
      </c>
      <c r="AB187" s="17"/>
      <c r="AC187" s="17"/>
      <c r="AD187" s="17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8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9" t="str">
        <f t="shared" si="15"/>
        <v/>
      </c>
      <c r="N188" s="17"/>
      <c r="O188" s="21"/>
      <c r="P188" s="21"/>
      <c r="Q188" s="23"/>
      <c r="R188" s="17"/>
      <c r="S188" s="17"/>
      <c r="T188" s="17"/>
      <c r="U188" s="17"/>
      <c r="V188" s="17"/>
      <c r="W188" s="17"/>
      <c r="X188" s="17"/>
      <c r="Y188" s="17"/>
      <c r="Z188" s="25" t="str">
        <f t="shared" ca="1" si="16"/>
        <v/>
      </c>
      <c r="AA188" s="1" t="str">
        <f t="shared" si="17"/>
        <v/>
      </c>
      <c r="AB188" s="17"/>
      <c r="AC188" s="17"/>
      <c r="AD188" s="17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8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9" t="str">
        <f t="shared" si="15"/>
        <v/>
      </c>
      <c r="N189" s="17"/>
      <c r="O189" s="21"/>
      <c r="P189" s="21"/>
      <c r="Q189" s="23"/>
      <c r="R189" s="17"/>
      <c r="S189" s="17"/>
      <c r="T189" s="17"/>
      <c r="U189" s="17"/>
      <c r="V189" s="17"/>
      <c r="W189" s="17"/>
      <c r="X189" s="17"/>
      <c r="Y189" s="17"/>
      <c r="Z189" s="25" t="str">
        <f t="shared" ca="1" si="16"/>
        <v/>
      </c>
      <c r="AA189" s="1" t="str">
        <f t="shared" si="17"/>
        <v/>
      </c>
      <c r="AB189" s="17"/>
      <c r="AC189" s="17"/>
      <c r="AD189" s="17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8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9" t="str">
        <f t="shared" si="15"/>
        <v/>
      </c>
      <c r="N190" s="17"/>
      <c r="O190" s="21"/>
      <c r="P190" s="21"/>
      <c r="Q190" s="23"/>
      <c r="R190" s="17"/>
      <c r="S190" s="17"/>
      <c r="T190" s="17"/>
      <c r="U190" s="17"/>
      <c r="V190" s="17"/>
      <c r="W190" s="17"/>
      <c r="X190" s="17"/>
      <c r="Y190" s="17"/>
      <c r="Z190" s="25" t="str">
        <f t="shared" ca="1" si="16"/>
        <v/>
      </c>
      <c r="AA190" s="1" t="str">
        <f t="shared" si="17"/>
        <v/>
      </c>
      <c r="AB190" s="17"/>
      <c r="AC190" s="17"/>
      <c r="AD190" s="17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8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9" t="str">
        <f t="shared" si="15"/>
        <v/>
      </c>
      <c r="N191" s="17"/>
      <c r="O191" s="21"/>
      <c r="P191" s="21"/>
      <c r="Q191" s="23"/>
      <c r="R191" s="17"/>
      <c r="S191" s="17"/>
      <c r="T191" s="17"/>
      <c r="U191" s="17"/>
      <c r="V191" s="17"/>
      <c r="W191" s="17"/>
      <c r="X191" s="17"/>
      <c r="Y191" s="17"/>
      <c r="Z191" s="25" t="str">
        <f t="shared" ca="1" si="16"/>
        <v/>
      </c>
      <c r="AA191" s="1" t="str">
        <f t="shared" si="17"/>
        <v/>
      </c>
      <c r="AB191" s="17"/>
      <c r="AC191" s="17"/>
      <c r="AD191" s="17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8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9" t="str">
        <f t="shared" si="15"/>
        <v/>
      </c>
      <c r="N192" s="17"/>
      <c r="O192" s="21"/>
      <c r="P192" s="21"/>
      <c r="Q192" s="23"/>
      <c r="R192" s="17"/>
      <c r="S192" s="17"/>
      <c r="T192" s="17"/>
      <c r="U192" s="17"/>
      <c r="V192" s="17"/>
      <c r="W192" s="17"/>
      <c r="X192" s="17"/>
      <c r="Y192" s="17"/>
      <c r="Z192" s="25" t="str">
        <f t="shared" ca="1" si="16"/>
        <v/>
      </c>
      <c r="AA192" s="1" t="str">
        <f t="shared" si="17"/>
        <v/>
      </c>
      <c r="AB192" s="17"/>
      <c r="AC192" s="17"/>
      <c r="AD192" s="17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8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9" t="str">
        <f t="shared" si="15"/>
        <v/>
      </c>
      <c r="N193" s="17"/>
      <c r="O193" s="21"/>
      <c r="P193" s="21"/>
      <c r="Q193" s="23"/>
      <c r="R193" s="17"/>
      <c r="S193" s="17"/>
      <c r="T193" s="17"/>
      <c r="U193" s="17"/>
      <c r="V193" s="17"/>
      <c r="W193" s="17"/>
      <c r="X193" s="17"/>
      <c r="Y193" s="17"/>
      <c r="Z193" s="25" t="str">
        <f t="shared" ca="1" si="16"/>
        <v/>
      </c>
      <c r="AA193" s="1" t="str">
        <f t="shared" si="17"/>
        <v/>
      </c>
      <c r="AB193" s="17"/>
      <c r="AC193" s="17"/>
      <c r="AD193" s="17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8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9" t="str">
        <f t="shared" si="15"/>
        <v/>
      </c>
      <c r="N194" s="17"/>
      <c r="O194" s="21"/>
      <c r="P194" s="21"/>
      <c r="Q194" s="23"/>
      <c r="R194" s="17"/>
      <c r="S194" s="17"/>
      <c r="T194" s="17"/>
      <c r="U194" s="17"/>
      <c r="V194" s="17"/>
      <c r="W194" s="17"/>
      <c r="X194" s="17"/>
      <c r="Y194" s="17"/>
      <c r="Z194" s="25" t="str">
        <f t="shared" ca="1" si="16"/>
        <v/>
      </c>
      <c r="AA194" s="1" t="str">
        <f t="shared" si="17"/>
        <v/>
      </c>
      <c r="AB194" s="17"/>
      <c r="AC194" s="17"/>
      <c r="AD194" s="17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8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9" t="str">
        <f t="shared" si="15"/>
        <v/>
      </c>
      <c r="N195" s="17"/>
      <c r="O195" s="21"/>
      <c r="P195" s="21"/>
      <c r="Q195" s="23"/>
      <c r="R195" s="17"/>
      <c r="S195" s="17"/>
      <c r="T195" s="17"/>
      <c r="U195" s="17"/>
      <c r="V195" s="17"/>
      <c r="W195" s="17"/>
      <c r="X195" s="17"/>
      <c r="Y195" s="17"/>
      <c r="Z195" s="25" t="str">
        <f t="shared" ca="1" si="16"/>
        <v/>
      </c>
      <c r="AA195" s="1" t="str">
        <f t="shared" si="17"/>
        <v/>
      </c>
      <c r="AB195" s="17"/>
      <c r="AC195" s="17"/>
      <c r="AD195" s="17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8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9" t="str">
        <f t="shared" si="15"/>
        <v/>
      </c>
      <c r="N196" s="17"/>
      <c r="O196" s="21"/>
      <c r="P196" s="21"/>
      <c r="Q196" s="23"/>
      <c r="R196" s="17"/>
      <c r="S196" s="17"/>
      <c r="T196" s="17"/>
      <c r="U196" s="17"/>
      <c r="V196" s="17"/>
      <c r="W196" s="17"/>
      <c r="X196" s="17"/>
      <c r="Y196" s="17"/>
      <c r="Z196" s="25" t="str">
        <f t="shared" ca="1" si="16"/>
        <v/>
      </c>
      <c r="AA196" s="1" t="str">
        <f t="shared" si="17"/>
        <v/>
      </c>
      <c r="AB196" s="17"/>
      <c r="AC196" s="17"/>
      <c r="AD196" s="17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8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9" t="str">
        <f t="shared" si="15"/>
        <v/>
      </c>
      <c r="N197" s="17"/>
      <c r="O197" s="21"/>
      <c r="P197" s="21"/>
      <c r="Q197" s="23"/>
      <c r="R197" s="17"/>
      <c r="S197" s="17"/>
      <c r="T197" s="17"/>
      <c r="U197" s="17"/>
      <c r="V197" s="17"/>
      <c r="W197" s="17"/>
      <c r="X197" s="17"/>
      <c r="Y197" s="17"/>
      <c r="Z197" s="25" t="str">
        <f t="shared" ca="1" si="16"/>
        <v/>
      </c>
      <c r="AA197" s="1" t="str">
        <f t="shared" si="17"/>
        <v/>
      </c>
      <c r="AB197" s="17"/>
      <c r="AC197" s="17"/>
      <c r="AD197" s="17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8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9" t="str">
        <f t="shared" si="15"/>
        <v/>
      </c>
      <c r="N198" s="17"/>
      <c r="O198" s="21"/>
      <c r="P198" s="21"/>
      <c r="Q198" s="23"/>
      <c r="R198" s="17"/>
      <c r="S198" s="17"/>
      <c r="T198" s="17"/>
      <c r="U198" s="17"/>
      <c r="V198" s="17"/>
      <c r="W198" s="17"/>
      <c r="X198" s="17"/>
      <c r="Y198" s="17"/>
      <c r="Z198" s="25" t="str">
        <f t="shared" ca="1" si="16"/>
        <v/>
      </c>
      <c r="AA198" s="1" t="str">
        <f t="shared" si="17"/>
        <v/>
      </c>
      <c r="AB198" s="17"/>
      <c r="AC198" s="17"/>
      <c r="AD198" s="17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8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9" t="str">
        <f t="shared" ref="M199:M206" si="18">IF(OR(K199="",K199=0,L199=""),"",L199/K199)</f>
        <v/>
      </c>
      <c r="N199" s="17"/>
      <c r="O199" s="21"/>
      <c r="P199" s="21"/>
      <c r="Q199" s="23"/>
      <c r="R199" s="17"/>
      <c r="S199" s="17"/>
      <c r="T199" s="17"/>
      <c r="U199" s="17"/>
      <c r="V199" s="17"/>
      <c r="W199" s="17"/>
      <c r="X199" s="17"/>
      <c r="Y199" s="17"/>
      <c r="Z199" s="25" t="str">
        <f t="shared" ref="Z199:Z206" ca="1" si="19">IF(P199="","",P199-TODAY())</f>
        <v/>
      </c>
      <c r="AA199" s="1" t="str">
        <f t="shared" ref="AA199:AA206" si="20">IF(P199="","",IF(Y199&lt;&gt;"Active","Inactive",IF(Z199&lt;0,"Expired",IF(Z199&lt;=30,"Due within 30 days",IF(Z199&lt;=60,"Due in 31-60 days",IF(Z199&lt;=90,"Due in 61-90 days","Later"))))))</f>
        <v/>
      </c>
      <c r="AB199" s="17"/>
      <c r="AC199" s="17"/>
      <c r="AD199" s="17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8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9" t="str">
        <f t="shared" si="18"/>
        <v/>
      </c>
      <c r="N200" s="17"/>
      <c r="O200" s="21"/>
      <c r="P200" s="21"/>
      <c r="Q200" s="23"/>
      <c r="R200" s="17"/>
      <c r="S200" s="17"/>
      <c r="T200" s="17"/>
      <c r="U200" s="17"/>
      <c r="V200" s="17"/>
      <c r="W200" s="17"/>
      <c r="X200" s="17"/>
      <c r="Y200" s="17"/>
      <c r="Z200" s="25" t="str">
        <f t="shared" ca="1" si="19"/>
        <v/>
      </c>
      <c r="AA200" s="1" t="str">
        <f t="shared" si="20"/>
        <v/>
      </c>
      <c r="AB200" s="17"/>
      <c r="AC200" s="17"/>
      <c r="AD200" s="17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8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9" t="str">
        <f t="shared" si="18"/>
        <v/>
      </c>
      <c r="N201" s="17"/>
      <c r="O201" s="21"/>
      <c r="P201" s="21"/>
      <c r="Q201" s="23"/>
      <c r="R201" s="17"/>
      <c r="S201" s="17"/>
      <c r="T201" s="17"/>
      <c r="U201" s="17"/>
      <c r="V201" s="17"/>
      <c r="W201" s="17"/>
      <c r="X201" s="17"/>
      <c r="Y201" s="17"/>
      <c r="Z201" s="25" t="str">
        <f t="shared" ca="1" si="19"/>
        <v/>
      </c>
      <c r="AA201" s="1" t="str">
        <f t="shared" si="20"/>
        <v/>
      </c>
      <c r="AB201" s="17"/>
      <c r="AC201" s="17"/>
      <c r="AD201" s="17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8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9" t="str">
        <f t="shared" si="18"/>
        <v/>
      </c>
      <c r="N202" s="17"/>
      <c r="O202" s="21"/>
      <c r="P202" s="21"/>
      <c r="Q202" s="23"/>
      <c r="R202" s="17"/>
      <c r="S202" s="17"/>
      <c r="T202" s="17"/>
      <c r="U202" s="17"/>
      <c r="V202" s="17"/>
      <c r="W202" s="17"/>
      <c r="X202" s="17"/>
      <c r="Y202" s="17"/>
      <c r="Z202" s="25" t="str">
        <f t="shared" ca="1" si="19"/>
        <v/>
      </c>
      <c r="AA202" s="1" t="str">
        <f t="shared" si="20"/>
        <v/>
      </c>
      <c r="AB202" s="17"/>
      <c r="AC202" s="17"/>
      <c r="AD202" s="17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8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9" t="str">
        <f t="shared" si="18"/>
        <v/>
      </c>
      <c r="N203" s="17"/>
      <c r="O203" s="21"/>
      <c r="P203" s="21"/>
      <c r="Q203" s="23"/>
      <c r="R203" s="17"/>
      <c r="S203" s="17"/>
      <c r="T203" s="17"/>
      <c r="U203" s="17"/>
      <c r="V203" s="17"/>
      <c r="W203" s="17"/>
      <c r="X203" s="17"/>
      <c r="Y203" s="17"/>
      <c r="Z203" s="25" t="str">
        <f t="shared" ca="1" si="19"/>
        <v/>
      </c>
      <c r="AA203" s="1" t="str">
        <f t="shared" si="20"/>
        <v/>
      </c>
      <c r="AB203" s="17"/>
      <c r="AC203" s="17"/>
      <c r="AD203" s="17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8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9" t="str">
        <f t="shared" si="18"/>
        <v/>
      </c>
      <c r="N204" s="17"/>
      <c r="O204" s="21"/>
      <c r="P204" s="21"/>
      <c r="Q204" s="23"/>
      <c r="R204" s="17"/>
      <c r="S204" s="17"/>
      <c r="T204" s="17"/>
      <c r="U204" s="17"/>
      <c r="V204" s="17"/>
      <c r="W204" s="17"/>
      <c r="X204" s="17"/>
      <c r="Y204" s="17"/>
      <c r="Z204" s="25" t="str">
        <f t="shared" ca="1" si="19"/>
        <v/>
      </c>
      <c r="AA204" s="1" t="str">
        <f t="shared" si="20"/>
        <v/>
      </c>
      <c r="AB204" s="17"/>
      <c r="AC204" s="17"/>
      <c r="AD204" s="17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8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9" t="str">
        <f t="shared" si="18"/>
        <v/>
      </c>
      <c r="N205" s="17"/>
      <c r="O205" s="21"/>
      <c r="P205" s="21"/>
      <c r="Q205" s="23"/>
      <c r="R205" s="17"/>
      <c r="S205" s="17"/>
      <c r="T205" s="17"/>
      <c r="U205" s="17"/>
      <c r="V205" s="17"/>
      <c r="W205" s="17"/>
      <c r="X205" s="17"/>
      <c r="Y205" s="17"/>
      <c r="Z205" s="25" t="str">
        <f t="shared" ca="1" si="19"/>
        <v/>
      </c>
      <c r="AA205" s="1" t="str">
        <f t="shared" si="20"/>
        <v/>
      </c>
      <c r="AB205" s="17"/>
      <c r="AC205" s="17"/>
      <c r="AD205" s="17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8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20" t="str">
        <f t="shared" si="18"/>
        <v/>
      </c>
      <c r="N206" s="18"/>
      <c r="O206" s="22"/>
      <c r="P206" s="22"/>
      <c r="Q206" s="24"/>
      <c r="R206" s="18"/>
      <c r="S206" s="18"/>
      <c r="T206" s="18"/>
      <c r="U206" s="18"/>
      <c r="V206" s="18"/>
      <c r="W206" s="18"/>
      <c r="X206" s="18"/>
      <c r="Y206" s="18"/>
      <c r="Z206" s="26" t="str">
        <f t="shared" ca="1" si="19"/>
        <v/>
      </c>
      <c r="AA206" s="16" t="str">
        <f t="shared" si="20"/>
        <v/>
      </c>
      <c r="AB206" s="18"/>
      <c r="AC206" s="18"/>
      <c r="AD206" s="18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</sheetData>
  <conditionalFormatting sqref="AA7:AA206">
    <cfRule type="containsText" dxfId="6" priority="1" operator="containsText" text="Expired"/>
    <cfRule type="containsText" dxfId="5" priority="2" operator="containsText" text="Due within 30 days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100-000000000000}">
          <x14:formula1>
            <xm:f>Lists!$B$2:$B$10</xm:f>
          </x14:formula1>
          <xm:sqref>C7:C206</xm:sqref>
        </x14:dataValidation>
        <x14:dataValidation type="list" xr:uid="{00000000-0002-0000-0100-000001000000}">
          <x14:formula1>
            <xm:f>Lists!$G$2:$G$5</xm:f>
          </x14:formula1>
          <xm:sqref>D7:D206</xm:sqref>
        </x14:dataValidation>
        <x14:dataValidation type="list" xr:uid="{00000000-0002-0000-0100-000002000000}">
          <x14:formula1>
            <xm:f>Lists!$C$2:$C$10</xm:f>
          </x14:formula1>
          <xm:sqref>I7:I206</xm:sqref>
        </x14:dataValidation>
        <x14:dataValidation type="list" xr:uid="{00000000-0002-0000-0100-000003000000}">
          <x14:formula1>
            <xm:f>Lists!$H$2:$H$9</xm:f>
          </x14:formula1>
          <xm:sqref>J7:J206</xm:sqref>
        </x14:dataValidation>
        <x14:dataValidation type="list" xr:uid="{00000000-0002-0000-0100-000004000000}">
          <x14:formula1>
            <xm:f>Lists!$D$2:$D$6</xm:f>
          </x14:formula1>
          <xm:sqref>R7:R206</xm:sqref>
        </x14:dataValidation>
        <x14:dataValidation type="list" xr:uid="{00000000-0002-0000-0100-000005000000}">
          <x14:formula1>
            <xm:f>Lists!$E$2:$E$3</xm:f>
          </x14:formula1>
          <xm:sqref>S7:S206</xm:sqref>
        </x14:dataValidation>
        <x14:dataValidation type="list" xr:uid="{00000000-0002-0000-0100-000006000000}">
          <x14:formula1>
            <xm:f>Lists!$F$2:$F$5</xm:f>
          </x14:formula1>
          <xm:sqref>T7:T206</xm:sqref>
        </x14:dataValidation>
        <x14:dataValidation type="list" xr:uid="{00000000-0002-0000-0100-000007000000}">
          <x14:formula1>
            <xm:f>Lists!$N$2:$N$5</xm:f>
          </x14:formula1>
          <xm:sqref>U7:U206</xm:sqref>
        </x14:dataValidation>
        <x14:dataValidation type="list" xr:uid="{00000000-0002-0000-0100-000008000000}">
          <x14:formula1>
            <xm:f>Lists!$A$2:$A$6</xm:f>
          </x14:formula1>
          <xm:sqref>Y7:Y206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AZ400"/>
  <sheetViews>
    <sheetView showGridLines="0" tabSelected="1" workbookViewId="0">
      <pane xSplit="2" ySplit="6" topLeftCell="C14" activePane="bottomRight" state="frozen"/>
      <selection pane="topRight"/>
      <selection pane="bottomLeft"/>
      <selection pane="bottomRight" activeCell="B7" sqref="B7"/>
    </sheetView>
  </sheetViews>
  <sheetFormatPr defaultRowHeight="14.25"/>
  <cols>
    <col min="1" max="1" width="14" customWidth="1"/>
    <col min="2" max="3" width="20" customWidth="1"/>
    <col min="4" max="4" width="28" customWidth="1"/>
    <col min="5" max="10" width="19" customWidth="1"/>
    <col min="11" max="13" width="14" customWidth="1"/>
    <col min="14" max="19" width="17" customWidth="1"/>
    <col min="20" max="22" width="16" customWidth="1"/>
    <col min="23" max="30" width="19" customWidth="1"/>
    <col min="31" max="32" width="18" customWidth="1"/>
    <col min="33" max="35" width="28" customWidth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9.5">
      <c r="A2" s="14" t="s">
        <v>96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5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42" customHeight="1">
      <c r="A6" s="3" t="s">
        <v>97</v>
      </c>
      <c r="B6" s="3" t="s">
        <v>98</v>
      </c>
      <c r="C6" s="3" t="s">
        <v>24</v>
      </c>
      <c r="D6" s="3" t="s">
        <v>99</v>
      </c>
      <c r="E6" s="3" t="s">
        <v>72</v>
      </c>
      <c r="F6" s="3" t="s">
        <v>100</v>
      </c>
      <c r="G6" s="3" t="s">
        <v>73</v>
      </c>
      <c r="H6" s="3" t="s">
        <v>101</v>
      </c>
      <c r="I6" s="3" t="s">
        <v>27</v>
      </c>
      <c r="J6" s="3" t="s">
        <v>102</v>
      </c>
      <c r="K6" s="3" t="s">
        <v>103</v>
      </c>
      <c r="L6" s="3" t="s">
        <v>104</v>
      </c>
      <c r="M6" s="3" t="s">
        <v>78</v>
      </c>
      <c r="N6" s="3" t="s">
        <v>105</v>
      </c>
      <c r="O6" s="3" t="s">
        <v>106</v>
      </c>
      <c r="P6" s="3" t="s">
        <v>107</v>
      </c>
      <c r="Q6" s="3" t="s">
        <v>108</v>
      </c>
      <c r="R6" s="3" t="s">
        <v>109</v>
      </c>
      <c r="S6" s="3" t="s">
        <v>26</v>
      </c>
      <c r="T6" s="3" t="s">
        <v>80</v>
      </c>
      <c r="U6" s="3" t="s">
        <v>110</v>
      </c>
      <c r="V6" s="3" t="s">
        <v>84</v>
      </c>
      <c r="W6" s="3" t="s">
        <v>111</v>
      </c>
      <c r="X6" s="3" t="s">
        <v>112</v>
      </c>
      <c r="Y6" s="3" t="s">
        <v>113</v>
      </c>
      <c r="Z6" s="3" t="s">
        <v>114</v>
      </c>
      <c r="AA6" s="3" t="s">
        <v>115</v>
      </c>
      <c r="AB6" s="3" t="s">
        <v>116</v>
      </c>
      <c r="AC6" s="3" t="s">
        <v>85</v>
      </c>
      <c r="AD6" s="3" t="s">
        <v>90</v>
      </c>
      <c r="AE6" s="3" t="s">
        <v>91</v>
      </c>
      <c r="AF6" s="3" t="s">
        <v>92</v>
      </c>
      <c r="AG6" s="3" t="s">
        <v>117</v>
      </c>
      <c r="AH6" s="3" t="s">
        <v>118</v>
      </c>
      <c r="AI6" s="3" t="s">
        <v>95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9" t="str">
        <f t="shared" ref="M7:M38" si="0">IF(OR(K7="",K7=0,L7=""),"",L7/K7)</f>
        <v/>
      </c>
      <c r="N7" s="17"/>
      <c r="O7" s="27"/>
      <c r="P7" s="27"/>
      <c r="Q7" s="28" t="str">
        <f t="shared" ref="Q7:Q38" si="1">IF(OR(O7="",P7=""),"",O7*P7)</f>
        <v/>
      </c>
      <c r="R7" s="17"/>
      <c r="S7" s="31" t="str">
        <f t="shared" ref="S7:S38" si="2">IF(OR(Q7="",R7=""),"",Q7*IF(R7="Monthly",12,IF(R7="Quarterly",4,IF(R7="Half-Yearly",2,IF(R7="Annual",1,IF(R7="One-time",0,1))))))</f>
        <v/>
      </c>
      <c r="T7" s="21"/>
      <c r="U7" s="21"/>
      <c r="V7" s="17"/>
      <c r="W7" s="17"/>
      <c r="X7" s="17"/>
      <c r="Y7" s="17"/>
      <c r="Z7" s="17"/>
      <c r="AA7" s="17"/>
      <c r="AB7" s="17"/>
      <c r="AC7" s="17"/>
      <c r="AD7" s="17"/>
      <c r="AE7" s="25" t="str">
        <f t="shared" ref="AE7:AE38" ca="1" si="3">IF(U7="","",U7-TODAY())</f>
        <v/>
      </c>
      <c r="AF7" s="1" t="str">
        <f t="shared" ref="AF7:AF38" si="4">IF(U7="","",IF(AD7&lt;&gt;"Active","Inactive",IF(AE7&lt;0,"Expired",IF(AE7&lt;=30,"Due within 30 days",IF(AE7&lt;=60,"Due in 31-60 days",IF(AE7&lt;=90,"Due in 61-90 days","Later"))))))</f>
        <v/>
      </c>
      <c r="AG7" s="17"/>
      <c r="AH7" s="17"/>
      <c r="AI7" s="1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9" t="str">
        <f t="shared" si="0"/>
        <v/>
      </c>
      <c r="N8" s="17"/>
      <c r="O8" s="27"/>
      <c r="P8" s="27"/>
      <c r="Q8" s="28" t="str">
        <f t="shared" si="1"/>
        <v/>
      </c>
      <c r="R8" s="17"/>
      <c r="S8" s="31" t="str">
        <f t="shared" si="2"/>
        <v/>
      </c>
      <c r="T8" s="21"/>
      <c r="U8" s="21"/>
      <c r="V8" s="17"/>
      <c r="W8" s="17"/>
      <c r="X8" s="17"/>
      <c r="Y8" s="17"/>
      <c r="Z8" s="17"/>
      <c r="AA8" s="17"/>
      <c r="AB8" s="17"/>
      <c r="AC8" s="17"/>
      <c r="AD8" s="17"/>
      <c r="AE8" s="25" t="str">
        <f t="shared" ca="1" si="3"/>
        <v/>
      </c>
      <c r="AF8" s="1" t="str">
        <f t="shared" si="4"/>
        <v/>
      </c>
      <c r="AG8" s="17"/>
      <c r="AH8" s="17"/>
      <c r="AI8" s="17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9" t="str">
        <f t="shared" si="0"/>
        <v/>
      </c>
      <c r="N9" s="17"/>
      <c r="O9" s="27"/>
      <c r="P9" s="27"/>
      <c r="Q9" s="28" t="str">
        <f t="shared" si="1"/>
        <v/>
      </c>
      <c r="R9" s="17"/>
      <c r="S9" s="31" t="str">
        <f t="shared" si="2"/>
        <v/>
      </c>
      <c r="T9" s="21"/>
      <c r="U9" s="21"/>
      <c r="V9" s="17"/>
      <c r="W9" s="17"/>
      <c r="X9" s="17"/>
      <c r="Y9" s="17"/>
      <c r="Z9" s="17"/>
      <c r="AA9" s="17"/>
      <c r="AB9" s="17"/>
      <c r="AC9" s="17"/>
      <c r="AD9" s="17"/>
      <c r="AE9" s="25" t="str">
        <f t="shared" ca="1" si="3"/>
        <v/>
      </c>
      <c r="AF9" s="1" t="str">
        <f t="shared" si="4"/>
        <v/>
      </c>
      <c r="AG9" s="17"/>
      <c r="AH9" s="17"/>
      <c r="AI9" s="17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9" t="str">
        <f t="shared" si="0"/>
        <v/>
      </c>
      <c r="N10" s="17"/>
      <c r="O10" s="27"/>
      <c r="P10" s="27"/>
      <c r="Q10" s="28" t="str">
        <f t="shared" si="1"/>
        <v/>
      </c>
      <c r="R10" s="17"/>
      <c r="S10" s="31" t="str">
        <f t="shared" si="2"/>
        <v/>
      </c>
      <c r="T10" s="21"/>
      <c r="U10" s="21"/>
      <c r="V10" s="17"/>
      <c r="W10" s="17"/>
      <c r="X10" s="17"/>
      <c r="Y10" s="17"/>
      <c r="Z10" s="17"/>
      <c r="AA10" s="17"/>
      <c r="AB10" s="17"/>
      <c r="AC10" s="17"/>
      <c r="AD10" s="17"/>
      <c r="AE10" s="25" t="str">
        <f t="shared" ca="1" si="3"/>
        <v/>
      </c>
      <c r="AF10" s="1" t="str">
        <f t="shared" si="4"/>
        <v/>
      </c>
      <c r="AG10" s="17"/>
      <c r="AH10" s="17"/>
      <c r="AI10" s="17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9" t="str">
        <f t="shared" si="0"/>
        <v/>
      </c>
      <c r="N11" s="17"/>
      <c r="O11" s="27"/>
      <c r="P11" s="27"/>
      <c r="Q11" s="28" t="str">
        <f t="shared" si="1"/>
        <v/>
      </c>
      <c r="R11" s="17"/>
      <c r="S11" s="31" t="str">
        <f t="shared" si="2"/>
        <v/>
      </c>
      <c r="T11" s="21"/>
      <c r="U11" s="21"/>
      <c r="V11" s="17"/>
      <c r="W11" s="17"/>
      <c r="X11" s="17"/>
      <c r="Y11" s="17"/>
      <c r="Z11" s="17"/>
      <c r="AA11" s="17"/>
      <c r="AB11" s="17"/>
      <c r="AC11" s="17"/>
      <c r="AD11" s="17"/>
      <c r="AE11" s="25" t="str">
        <f t="shared" ca="1" si="3"/>
        <v/>
      </c>
      <c r="AF11" s="1" t="str">
        <f t="shared" si="4"/>
        <v/>
      </c>
      <c r="AG11" s="17"/>
      <c r="AH11" s="17"/>
      <c r="AI11" s="17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9" t="str">
        <f t="shared" si="0"/>
        <v/>
      </c>
      <c r="N12" s="17"/>
      <c r="O12" s="27"/>
      <c r="P12" s="27"/>
      <c r="Q12" s="28" t="str">
        <f t="shared" si="1"/>
        <v/>
      </c>
      <c r="R12" s="17"/>
      <c r="S12" s="31" t="str">
        <f t="shared" si="2"/>
        <v/>
      </c>
      <c r="T12" s="21"/>
      <c r="U12" s="21"/>
      <c r="V12" s="17"/>
      <c r="W12" s="17"/>
      <c r="X12" s="17"/>
      <c r="Y12" s="17"/>
      <c r="Z12" s="17"/>
      <c r="AA12" s="17"/>
      <c r="AB12" s="17"/>
      <c r="AC12" s="17"/>
      <c r="AD12" s="17"/>
      <c r="AE12" s="25" t="str">
        <f t="shared" ca="1" si="3"/>
        <v/>
      </c>
      <c r="AF12" s="1" t="str">
        <f t="shared" si="4"/>
        <v/>
      </c>
      <c r="AG12" s="17"/>
      <c r="AH12" s="17"/>
      <c r="AI12" s="17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9" t="str">
        <f t="shared" si="0"/>
        <v/>
      </c>
      <c r="N13" s="17"/>
      <c r="O13" s="27"/>
      <c r="P13" s="27"/>
      <c r="Q13" s="28" t="str">
        <f t="shared" si="1"/>
        <v/>
      </c>
      <c r="R13" s="17"/>
      <c r="S13" s="31" t="str">
        <f t="shared" si="2"/>
        <v/>
      </c>
      <c r="T13" s="21"/>
      <c r="U13" s="21"/>
      <c r="V13" s="17"/>
      <c r="W13" s="17"/>
      <c r="X13" s="17"/>
      <c r="Y13" s="17"/>
      <c r="Z13" s="17"/>
      <c r="AA13" s="17"/>
      <c r="AB13" s="17"/>
      <c r="AC13" s="17"/>
      <c r="AD13" s="17"/>
      <c r="AE13" s="25" t="str">
        <f t="shared" ca="1" si="3"/>
        <v/>
      </c>
      <c r="AF13" s="1" t="str">
        <f t="shared" si="4"/>
        <v/>
      </c>
      <c r="AG13" s="17"/>
      <c r="AH13" s="17"/>
      <c r="AI13" s="17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9" t="str">
        <f t="shared" si="0"/>
        <v/>
      </c>
      <c r="N14" s="17"/>
      <c r="O14" s="27"/>
      <c r="P14" s="27"/>
      <c r="Q14" s="28" t="str">
        <f t="shared" si="1"/>
        <v/>
      </c>
      <c r="R14" s="17"/>
      <c r="S14" s="31" t="str">
        <f t="shared" si="2"/>
        <v/>
      </c>
      <c r="T14" s="21"/>
      <c r="U14" s="21"/>
      <c r="V14" s="17"/>
      <c r="W14" s="17"/>
      <c r="X14" s="17"/>
      <c r="Y14" s="17"/>
      <c r="Z14" s="17"/>
      <c r="AA14" s="17"/>
      <c r="AB14" s="17"/>
      <c r="AC14" s="17"/>
      <c r="AD14" s="17"/>
      <c r="AE14" s="25" t="str">
        <f t="shared" ca="1" si="3"/>
        <v/>
      </c>
      <c r="AF14" s="1" t="str">
        <f t="shared" si="4"/>
        <v/>
      </c>
      <c r="AG14" s="17"/>
      <c r="AH14" s="17"/>
      <c r="AI14" s="17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8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9" t="str">
        <f t="shared" si="0"/>
        <v/>
      </c>
      <c r="N15" s="17"/>
      <c r="O15" s="27"/>
      <c r="P15" s="27"/>
      <c r="Q15" s="28" t="str">
        <f t="shared" si="1"/>
        <v/>
      </c>
      <c r="R15" s="17"/>
      <c r="S15" s="31" t="str">
        <f t="shared" si="2"/>
        <v/>
      </c>
      <c r="T15" s="21"/>
      <c r="U15" s="21"/>
      <c r="V15" s="17"/>
      <c r="W15" s="17"/>
      <c r="X15" s="17"/>
      <c r="Y15" s="17"/>
      <c r="Z15" s="17"/>
      <c r="AA15" s="17"/>
      <c r="AB15" s="17"/>
      <c r="AC15" s="17"/>
      <c r="AD15" s="17"/>
      <c r="AE15" s="25" t="str">
        <f t="shared" ca="1" si="3"/>
        <v/>
      </c>
      <c r="AF15" s="1" t="str">
        <f t="shared" si="4"/>
        <v/>
      </c>
      <c r="AG15" s="17"/>
      <c r="AH15" s="17"/>
      <c r="AI15" s="17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8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9" t="str">
        <f t="shared" si="0"/>
        <v/>
      </c>
      <c r="N16" s="17"/>
      <c r="O16" s="27"/>
      <c r="P16" s="27"/>
      <c r="Q16" s="28" t="str">
        <f t="shared" si="1"/>
        <v/>
      </c>
      <c r="R16" s="17"/>
      <c r="S16" s="31" t="str">
        <f t="shared" si="2"/>
        <v/>
      </c>
      <c r="T16" s="21"/>
      <c r="U16" s="21"/>
      <c r="V16" s="17"/>
      <c r="W16" s="17"/>
      <c r="X16" s="17"/>
      <c r="Y16" s="17"/>
      <c r="Z16" s="17"/>
      <c r="AA16" s="17"/>
      <c r="AB16" s="17"/>
      <c r="AC16" s="17"/>
      <c r="AD16" s="17"/>
      <c r="AE16" s="25" t="str">
        <f t="shared" ca="1" si="3"/>
        <v/>
      </c>
      <c r="AF16" s="1" t="str">
        <f t="shared" si="4"/>
        <v/>
      </c>
      <c r="AG16" s="17"/>
      <c r="AH16" s="17"/>
      <c r="AI16" s="17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8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9" t="str">
        <f t="shared" si="0"/>
        <v/>
      </c>
      <c r="N17" s="17"/>
      <c r="O17" s="27"/>
      <c r="P17" s="27"/>
      <c r="Q17" s="28" t="str">
        <f t="shared" si="1"/>
        <v/>
      </c>
      <c r="R17" s="17"/>
      <c r="S17" s="31" t="str">
        <f t="shared" si="2"/>
        <v/>
      </c>
      <c r="T17" s="21"/>
      <c r="U17" s="21"/>
      <c r="V17" s="17"/>
      <c r="W17" s="17"/>
      <c r="X17" s="17"/>
      <c r="Y17" s="17"/>
      <c r="Z17" s="17"/>
      <c r="AA17" s="17"/>
      <c r="AB17" s="17"/>
      <c r="AC17" s="17"/>
      <c r="AD17" s="17"/>
      <c r="AE17" s="25" t="str">
        <f t="shared" ca="1" si="3"/>
        <v/>
      </c>
      <c r="AF17" s="1" t="str">
        <f t="shared" si="4"/>
        <v/>
      </c>
      <c r="AG17" s="17"/>
      <c r="AH17" s="17"/>
      <c r="AI17" s="17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8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9" t="str">
        <f t="shared" si="0"/>
        <v/>
      </c>
      <c r="N18" s="17"/>
      <c r="O18" s="27"/>
      <c r="P18" s="27"/>
      <c r="Q18" s="28" t="str">
        <f t="shared" si="1"/>
        <v/>
      </c>
      <c r="R18" s="17"/>
      <c r="S18" s="31" t="str">
        <f t="shared" si="2"/>
        <v/>
      </c>
      <c r="T18" s="21"/>
      <c r="U18" s="21"/>
      <c r="V18" s="17"/>
      <c r="W18" s="17"/>
      <c r="X18" s="17"/>
      <c r="Y18" s="17"/>
      <c r="Z18" s="17"/>
      <c r="AA18" s="17"/>
      <c r="AB18" s="17"/>
      <c r="AC18" s="17"/>
      <c r="AD18" s="17"/>
      <c r="AE18" s="25" t="str">
        <f t="shared" ca="1" si="3"/>
        <v/>
      </c>
      <c r="AF18" s="1" t="str">
        <f t="shared" si="4"/>
        <v/>
      </c>
      <c r="AG18" s="17"/>
      <c r="AH18" s="17"/>
      <c r="AI18" s="17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8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9" t="str">
        <f t="shared" si="0"/>
        <v/>
      </c>
      <c r="N19" s="17"/>
      <c r="O19" s="27"/>
      <c r="P19" s="27"/>
      <c r="Q19" s="28" t="str">
        <f t="shared" si="1"/>
        <v/>
      </c>
      <c r="R19" s="17"/>
      <c r="S19" s="31" t="str">
        <f t="shared" si="2"/>
        <v/>
      </c>
      <c r="T19" s="21"/>
      <c r="U19" s="21"/>
      <c r="V19" s="17"/>
      <c r="W19" s="17"/>
      <c r="X19" s="17"/>
      <c r="Y19" s="17"/>
      <c r="Z19" s="17"/>
      <c r="AA19" s="17"/>
      <c r="AB19" s="17"/>
      <c r="AC19" s="17"/>
      <c r="AD19" s="17"/>
      <c r="AE19" s="25" t="str">
        <f t="shared" ca="1" si="3"/>
        <v/>
      </c>
      <c r="AF19" s="1" t="str">
        <f t="shared" si="4"/>
        <v/>
      </c>
      <c r="AG19" s="17"/>
      <c r="AH19" s="17"/>
      <c r="AI19" s="17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8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9" t="str">
        <f t="shared" si="0"/>
        <v/>
      </c>
      <c r="N20" s="17"/>
      <c r="O20" s="27"/>
      <c r="P20" s="27"/>
      <c r="Q20" s="28" t="str">
        <f t="shared" si="1"/>
        <v/>
      </c>
      <c r="R20" s="17"/>
      <c r="S20" s="31" t="str">
        <f t="shared" si="2"/>
        <v/>
      </c>
      <c r="T20" s="21"/>
      <c r="U20" s="21"/>
      <c r="V20" s="17"/>
      <c r="W20" s="17"/>
      <c r="X20" s="17"/>
      <c r="Y20" s="17"/>
      <c r="Z20" s="17"/>
      <c r="AA20" s="17"/>
      <c r="AB20" s="17"/>
      <c r="AC20" s="17"/>
      <c r="AD20" s="17"/>
      <c r="AE20" s="25" t="str">
        <f t="shared" ca="1" si="3"/>
        <v/>
      </c>
      <c r="AF20" s="1" t="str">
        <f t="shared" si="4"/>
        <v/>
      </c>
      <c r="AG20" s="17"/>
      <c r="AH20" s="17"/>
      <c r="AI20" s="1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8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9" t="str">
        <f t="shared" si="0"/>
        <v/>
      </c>
      <c r="N21" s="17"/>
      <c r="O21" s="27"/>
      <c r="P21" s="27"/>
      <c r="Q21" s="28" t="str">
        <f t="shared" si="1"/>
        <v/>
      </c>
      <c r="R21" s="17"/>
      <c r="S21" s="31" t="str">
        <f t="shared" si="2"/>
        <v/>
      </c>
      <c r="T21" s="21"/>
      <c r="U21" s="21"/>
      <c r="V21" s="17"/>
      <c r="W21" s="17"/>
      <c r="X21" s="17"/>
      <c r="Y21" s="17"/>
      <c r="Z21" s="17"/>
      <c r="AA21" s="17"/>
      <c r="AB21" s="17"/>
      <c r="AC21" s="17"/>
      <c r="AD21" s="17"/>
      <c r="AE21" s="25" t="str">
        <f t="shared" ca="1" si="3"/>
        <v/>
      </c>
      <c r="AF21" s="1" t="str">
        <f t="shared" si="4"/>
        <v/>
      </c>
      <c r="AG21" s="17"/>
      <c r="AH21" s="17"/>
      <c r="AI21" s="17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8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9" t="str">
        <f t="shared" si="0"/>
        <v/>
      </c>
      <c r="N22" s="17"/>
      <c r="O22" s="27"/>
      <c r="P22" s="27"/>
      <c r="Q22" s="28" t="str">
        <f t="shared" si="1"/>
        <v/>
      </c>
      <c r="R22" s="17"/>
      <c r="S22" s="31" t="str">
        <f t="shared" si="2"/>
        <v/>
      </c>
      <c r="T22" s="21"/>
      <c r="U22" s="21"/>
      <c r="V22" s="17"/>
      <c r="W22" s="17"/>
      <c r="X22" s="17"/>
      <c r="Y22" s="17"/>
      <c r="Z22" s="17"/>
      <c r="AA22" s="17"/>
      <c r="AB22" s="17"/>
      <c r="AC22" s="17"/>
      <c r="AD22" s="17"/>
      <c r="AE22" s="25" t="str">
        <f t="shared" ca="1" si="3"/>
        <v/>
      </c>
      <c r="AF22" s="1" t="str">
        <f t="shared" si="4"/>
        <v/>
      </c>
      <c r="AG22" s="17"/>
      <c r="AH22" s="17"/>
      <c r="AI22" s="17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8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9" t="str">
        <f t="shared" si="0"/>
        <v/>
      </c>
      <c r="N23" s="17"/>
      <c r="O23" s="27"/>
      <c r="P23" s="27"/>
      <c r="Q23" s="28" t="str">
        <f t="shared" si="1"/>
        <v/>
      </c>
      <c r="R23" s="17"/>
      <c r="S23" s="31" t="str">
        <f t="shared" si="2"/>
        <v/>
      </c>
      <c r="T23" s="21"/>
      <c r="U23" s="21"/>
      <c r="V23" s="17"/>
      <c r="W23" s="17"/>
      <c r="X23" s="17"/>
      <c r="Y23" s="17"/>
      <c r="Z23" s="17"/>
      <c r="AA23" s="17"/>
      <c r="AB23" s="17"/>
      <c r="AC23" s="17"/>
      <c r="AD23" s="17"/>
      <c r="AE23" s="25" t="str">
        <f t="shared" ca="1" si="3"/>
        <v/>
      </c>
      <c r="AF23" s="1" t="str">
        <f t="shared" si="4"/>
        <v/>
      </c>
      <c r="AG23" s="17"/>
      <c r="AH23" s="17"/>
      <c r="AI23" s="17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8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9" t="str">
        <f t="shared" si="0"/>
        <v/>
      </c>
      <c r="N24" s="17"/>
      <c r="O24" s="27"/>
      <c r="P24" s="27"/>
      <c r="Q24" s="28" t="str">
        <f t="shared" si="1"/>
        <v/>
      </c>
      <c r="R24" s="17"/>
      <c r="S24" s="31" t="str">
        <f t="shared" si="2"/>
        <v/>
      </c>
      <c r="T24" s="21"/>
      <c r="U24" s="21"/>
      <c r="V24" s="17"/>
      <c r="W24" s="17"/>
      <c r="X24" s="17"/>
      <c r="Y24" s="17"/>
      <c r="Z24" s="17"/>
      <c r="AA24" s="17"/>
      <c r="AB24" s="17"/>
      <c r="AC24" s="17"/>
      <c r="AD24" s="17"/>
      <c r="AE24" s="25" t="str">
        <f t="shared" ca="1" si="3"/>
        <v/>
      </c>
      <c r="AF24" s="1" t="str">
        <f t="shared" si="4"/>
        <v/>
      </c>
      <c r="AG24" s="17"/>
      <c r="AH24" s="17"/>
      <c r="AI24" s="1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8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9" t="str">
        <f t="shared" si="0"/>
        <v/>
      </c>
      <c r="N25" s="17"/>
      <c r="O25" s="27"/>
      <c r="P25" s="27"/>
      <c r="Q25" s="28" t="str">
        <f t="shared" si="1"/>
        <v/>
      </c>
      <c r="R25" s="17"/>
      <c r="S25" s="31" t="str">
        <f t="shared" si="2"/>
        <v/>
      </c>
      <c r="T25" s="21"/>
      <c r="U25" s="21"/>
      <c r="V25" s="17"/>
      <c r="W25" s="17"/>
      <c r="X25" s="17"/>
      <c r="Y25" s="17"/>
      <c r="Z25" s="17"/>
      <c r="AA25" s="17"/>
      <c r="AB25" s="17"/>
      <c r="AC25" s="17"/>
      <c r="AD25" s="17"/>
      <c r="AE25" s="25" t="str">
        <f t="shared" ca="1" si="3"/>
        <v/>
      </c>
      <c r="AF25" s="1" t="str">
        <f t="shared" si="4"/>
        <v/>
      </c>
      <c r="AG25" s="17"/>
      <c r="AH25" s="17"/>
      <c r="AI25" s="17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8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9" t="str">
        <f t="shared" si="0"/>
        <v/>
      </c>
      <c r="N26" s="17"/>
      <c r="O26" s="27"/>
      <c r="P26" s="27"/>
      <c r="Q26" s="28" t="str">
        <f t="shared" si="1"/>
        <v/>
      </c>
      <c r="R26" s="17"/>
      <c r="S26" s="31" t="str">
        <f t="shared" si="2"/>
        <v/>
      </c>
      <c r="T26" s="21"/>
      <c r="U26" s="21"/>
      <c r="V26" s="17"/>
      <c r="W26" s="17"/>
      <c r="X26" s="17"/>
      <c r="Y26" s="17"/>
      <c r="Z26" s="17"/>
      <c r="AA26" s="17"/>
      <c r="AB26" s="17"/>
      <c r="AC26" s="17"/>
      <c r="AD26" s="17"/>
      <c r="AE26" s="25" t="str">
        <f t="shared" ca="1" si="3"/>
        <v/>
      </c>
      <c r="AF26" s="1" t="str">
        <f t="shared" si="4"/>
        <v/>
      </c>
      <c r="AG26" s="17"/>
      <c r="AH26" s="17"/>
      <c r="AI26" s="17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8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9" t="str">
        <f t="shared" si="0"/>
        <v/>
      </c>
      <c r="N27" s="17"/>
      <c r="O27" s="27"/>
      <c r="P27" s="27"/>
      <c r="Q27" s="28" t="str">
        <f t="shared" si="1"/>
        <v/>
      </c>
      <c r="R27" s="17"/>
      <c r="S27" s="31" t="str">
        <f t="shared" si="2"/>
        <v/>
      </c>
      <c r="T27" s="21"/>
      <c r="U27" s="21"/>
      <c r="V27" s="17"/>
      <c r="W27" s="17"/>
      <c r="X27" s="17"/>
      <c r="Y27" s="17"/>
      <c r="Z27" s="17"/>
      <c r="AA27" s="17"/>
      <c r="AB27" s="17"/>
      <c r="AC27" s="17"/>
      <c r="AD27" s="17"/>
      <c r="AE27" s="25" t="str">
        <f t="shared" ca="1" si="3"/>
        <v/>
      </c>
      <c r="AF27" s="1" t="str">
        <f t="shared" si="4"/>
        <v/>
      </c>
      <c r="AG27" s="17"/>
      <c r="AH27" s="17"/>
      <c r="AI27" s="17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8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9" t="str">
        <f t="shared" si="0"/>
        <v/>
      </c>
      <c r="N28" s="17"/>
      <c r="O28" s="27"/>
      <c r="P28" s="27"/>
      <c r="Q28" s="28" t="str">
        <f t="shared" si="1"/>
        <v/>
      </c>
      <c r="R28" s="17"/>
      <c r="S28" s="31" t="str">
        <f t="shared" si="2"/>
        <v/>
      </c>
      <c r="T28" s="21"/>
      <c r="U28" s="21"/>
      <c r="V28" s="17"/>
      <c r="W28" s="17"/>
      <c r="X28" s="17"/>
      <c r="Y28" s="17"/>
      <c r="Z28" s="17"/>
      <c r="AA28" s="17"/>
      <c r="AB28" s="17"/>
      <c r="AC28" s="17"/>
      <c r="AD28" s="17"/>
      <c r="AE28" s="25" t="str">
        <f t="shared" ca="1" si="3"/>
        <v/>
      </c>
      <c r="AF28" s="1" t="str">
        <f t="shared" si="4"/>
        <v/>
      </c>
      <c r="AG28" s="17"/>
      <c r="AH28" s="17"/>
      <c r="AI28" s="17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8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9" t="str">
        <f t="shared" si="0"/>
        <v/>
      </c>
      <c r="N29" s="17"/>
      <c r="O29" s="27"/>
      <c r="P29" s="27"/>
      <c r="Q29" s="28" t="str">
        <f t="shared" si="1"/>
        <v/>
      </c>
      <c r="R29" s="17"/>
      <c r="S29" s="31" t="str">
        <f t="shared" si="2"/>
        <v/>
      </c>
      <c r="T29" s="21"/>
      <c r="U29" s="21"/>
      <c r="V29" s="17"/>
      <c r="W29" s="17"/>
      <c r="X29" s="17"/>
      <c r="Y29" s="17"/>
      <c r="Z29" s="17"/>
      <c r="AA29" s="17"/>
      <c r="AB29" s="17"/>
      <c r="AC29" s="17"/>
      <c r="AD29" s="17"/>
      <c r="AE29" s="25" t="str">
        <f t="shared" ca="1" si="3"/>
        <v/>
      </c>
      <c r="AF29" s="1" t="str">
        <f t="shared" si="4"/>
        <v/>
      </c>
      <c r="AG29" s="17"/>
      <c r="AH29" s="17"/>
      <c r="AI29" s="17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8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9" t="str">
        <f t="shared" si="0"/>
        <v/>
      </c>
      <c r="N30" s="17"/>
      <c r="O30" s="27"/>
      <c r="P30" s="27"/>
      <c r="Q30" s="28" t="str">
        <f t="shared" si="1"/>
        <v/>
      </c>
      <c r="R30" s="17"/>
      <c r="S30" s="31" t="str">
        <f t="shared" si="2"/>
        <v/>
      </c>
      <c r="T30" s="21"/>
      <c r="U30" s="21"/>
      <c r="V30" s="17"/>
      <c r="W30" s="17"/>
      <c r="X30" s="17"/>
      <c r="Y30" s="17"/>
      <c r="Z30" s="17"/>
      <c r="AA30" s="17"/>
      <c r="AB30" s="17"/>
      <c r="AC30" s="17"/>
      <c r="AD30" s="17"/>
      <c r="AE30" s="25" t="str">
        <f t="shared" ca="1" si="3"/>
        <v/>
      </c>
      <c r="AF30" s="1" t="str">
        <f t="shared" si="4"/>
        <v/>
      </c>
      <c r="AG30" s="17"/>
      <c r="AH30" s="17"/>
      <c r="AI30" s="17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8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9" t="str">
        <f t="shared" si="0"/>
        <v/>
      </c>
      <c r="N31" s="17"/>
      <c r="O31" s="27"/>
      <c r="P31" s="27"/>
      <c r="Q31" s="28" t="str">
        <f t="shared" si="1"/>
        <v/>
      </c>
      <c r="R31" s="17"/>
      <c r="S31" s="31" t="str">
        <f t="shared" si="2"/>
        <v/>
      </c>
      <c r="T31" s="21"/>
      <c r="U31" s="21"/>
      <c r="V31" s="17"/>
      <c r="W31" s="17"/>
      <c r="X31" s="17"/>
      <c r="Y31" s="17"/>
      <c r="Z31" s="17"/>
      <c r="AA31" s="17"/>
      <c r="AB31" s="17"/>
      <c r="AC31" s="17"/>
      <c r="AD31" s="17"/>
      <c r="AE31" s="25" t="str">
        <f t="shared" ca="1" si="3"/>
        <v/>
      </c>
      <c r="AF31" s="1" t="str">
        <f t="shared" si="4"/>
        <v/>
      </c>
      <c r="AG31" s="17"/>
      <c r="AH31" s="17"/>
      <c r="AI31" s="17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8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9" t="str">
        <f t="shared" si="0"/>
        <v/>
      </c>
      <c r="N32" s="17"/>
      <c r="O32" s="27"/>
      <c r="P32" s="27"/>
      <c r="Q32" s="28" t="str">
        <f t="shared" si="1"/>
        <v/>
      </c>
      <c r="R32" s="17"/>
      <c r="S32" s="31" t="str">
        <f t="shared" si="2"/>
        <v/>
      </c>
      <c r="T32" s="21"/>
      <c r="U32" s="21"/>
      <c r="V32" s="17"/>
      <c r="W32" s="17"/>
      <c r="X32" s="17"/>
      <c r="Y32" s="17"/>
      <c r="Z32" s="17"/>
      <c r="AA32" s="17"/>
      <c r="AB32" s="17"/>
      <c r="AC32" s="17"/>
      <c r="AD32" s="17"/>
      <c r="AE32" s="25" t="str">
        <f t="shared" ca="1" si="3"/>
        <v/>
      </c>
      <c r="AF32" s="1" t="str">
        <f t="shared" si="4"/>
        <v/>
      </c>
      <c r="AG32" s="17"/>
      <c r="AH32" s="17"/>
      <c r="AI32" s="17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8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9" t="str">
        <f t="shared" si="0"/>
        <v/>
      </c>
      <c r="N33" s="17"/>
      <c r="O33" s="27"/>
      <c r="P33" s="27"/>
      <c r="Q33" s="28" t="str">
        <f t="shared" si="1"/>
        <v/>
      </c>
      <c r="R33" s="17"/>
      <c r="S33" s="31" t="str">
        <f t="shared" si="2"/>
        <v/>
      </c>
      <c r="T33" s="21"/>
      <c r="U33" s="21"/>
      <c r="V33" s="17"/>
      <c r="W33" s="17"/>
      <c r="X33" s="17"/>
      <c r="Y33" s="17"/>
      <c r="Z33" s="17"/>
      <c r="AA33" s="17"/>
      <c r="AB33" s="17"/>
      <c r="AC33" s="17"/>
      <c r="AD33" s="17"/>
      <c r="AE33" s="25" t="str">
        <f t="shared" ca="1" si="3"/>
        <v/>
      </c>
      <c r="AF33" s="1" t="str">
        <f t="shared" si="4"/>
        <v/>
      </c>
      <c r="AG33" s="17"/>
      <c r="AH33" s="17"/>
      <c r="AI33" s="17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8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9" t="str">
        <f t="shared" si="0"/>
        <v/>
      </c>
      <c r="N34" s="17"/>
      <c r="O34" s="27"/>
      <c r="P34" s="27"/>
      <c r="Q34" s="28" t="str">
        <f t="shared" si="1"/>
        <v/>
      </c>
      <c r="R34" s="17"/>
      <c r="S34" s="31" t="str">
        <f t="shared" si="2"/>
        <v/>
      </c>
      <c r="T34" s="21"/>
      <c r="U34" s="21"/>
      <c r="V34" s="17"/>
      <c r="W34" s="17"/>
      <c r="X34" s="17"/>
      <c r="Y34" s="17"/>
      <c r="Z34" s="17"/>
      <c r="AA34" s="17"/>
      <c r="AB34" s="17"/>
      <c r="AC34" s="17"/>
      <c r="AD34" s="17"/>
      <c r="AE34" s="25" t="str">
        <f t="shared" ca="1" si="3"/>
        <v/>
      </c>
      <c r="AF34" s="1" t="str">
        <f t="shared" si="4"/>
        <v/>
      </c>
      <c r="AG34" s="17"/>
      <c r="AH34" s="17"/>
      <c r="AI34" s="17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8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9" t="str">
        <f t="shared" si="0"/>
        <v/>
      </c>
      <c r="N35" s="17"/>
      <c r="O35" s="27"/>
      <c r="P35" s="27"/>
      <c r="Q35" s="28" t="str">
        <f t="shared" si="1"/>
        <v/>
      </c>
      <c r="R35" s="17"/>
      <c r="S35" s="31" t="str">
        <f t="shared" si="2"/>
        <v/>
      </c>
      <c r="T35" s="21"/>
      <c r="U35" s="21"/>
      <c r="V35" s="17"/>
      <c r="W35" s="17"/>
      <c r="X35" s="17"/>
      <c r="Y35" s="17"/>
      <c r="Z35" s="17"/>
      <c r="AA35" s="17"/>
      <c r="AB35" s="17"/>
      <c r="AC35" s="17"/>
      <c r="AD35" s="17"/>
      <c r="AE35" s="25" t="str">
        <f t="shared" ca="1" si="3"/>
        <v/>
      </c>
      <c r="AF35" s="1" t="str">
        <f t="shared" si="4"/>
        <v/>
      </c>
      <c r="AG35" s="17"/>
      <c r="AH35" s="17"/>
      <c r="AI35" s="17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8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9" t="str">
        <f t="shared" si="0"/>
        <v/>
      </c>
      <c r="N36" s="17"/>
      <c r="O36" s="27"/>
      <c r="P36" s="27"/>
      <c r="Q36" s="28" t="str">
        <f t="shared" si="1"/>
        <v/>
      </c>
      <c r="R36" s="17"/>
      <c r="S36" s="31" t="str">
        <f t="shared" si="2"/>
        <v/>
      </c>
      <c r="T36" s="21"/>
      <c r="U36" s="21"/>
      <c r="V36" s="17"/>
      <c r="W36" s="17"/>
      <c r="X36" s="17"/>
      <c r="Y36" s="17"/>
      <c r="Z36" s="17"/>
      <c r="AA36" s="17"/>
      <c r="AB36" s="17"/>
      <c r="AC36" s="17"/>
      <c r="AD36" s="17"/>
      <c r="AE36" s="25" t="str">
        <f t="shared" ca="1" si="3"/>
        <v/>
      </c>
      <c r="AF36" s="1" t="str">
        <f t="shared" si="4"/>
        <v/>
      </c>
      <c r="AG36" s="17"/>
      <c r="AH36" s="17"/>
      <c r="AI36" s="17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8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9" t="str">
        <f t="shared" si="0"/>
        <v/>
      </c>
      <c r="N37" s="17"/>
      <c r="O37" s="27"/>
      <c r="P37" s="27"/>
      <c r="Q37" s="28" t="str">
        <f t="shared" si="1"/>
        <v/>
      </c>
      <c r="R37" s="17"/>
      <c r="S37" s="31" t="str">
        <f t="shared" si="2"/>
        <v/>
      </c>
      <c r="T37" s="21"/>
      <c r="U37" s="21"/>
      <c r="V37" s="17"/>
      <c r="W37" s="17"/>
      <c r="X37" s="17"/>
      <c r="Y37" s="17"/>
      <c r="Z37" s="17"/>
      <c r="AA37" s="17"/>
      <c r="AB37" s="17"/>
      <c r="AC37" s="17"/>
      <c r="AD37" s="17"/>
      <c r="AE37" s="25" t="str">
        <f t="shared" ca="1" si="3"/>
        <v/>
      </c>
      <c r="AF37" s="1" t="str">
        <f t="shared" si="4"/>
        <v/>
      </c>
      <c r="AG37" s="17"/>
      <c r="AH37" s="17"/>
      <c r="AI37" s="17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8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9" t="str">
        <f t="shared" si="0"/>
        <v/>
      </c>
      <c r="N38" s="17"/>
      <c r="O38" s="27"/>
      <c r="P38" s="27"/>
      <c r="Q38" s="28" t="str">
        <f t="shared" si="1"/>
        <v/>
      </c>
      <c r="R38" s="17"/>
      <c r="S38" s="31" t="str">
        <f t="shared" si="2"/>
        <v/>
      </c>
      <c r="T38" s="21"/>
      <c r="U38" s="21"/>
      <c r="V38" s="17"/>
      <c r="W38" s="17"/>
      <c r="X38" s="17"/>
      <c r="Y38" s="17"/>
      <c r="Z38" s="17"/>
      <c r="AA38" s="17"/>
      <c r="AB38" s="17"/>
      <c r="AC38" s="17"/>
      <c r="AD38" s="17"/>
      <c r="AE38" s="25" t="str">
        <f t="shared" ca="1" si="3"/>
        <v/>
      </c>
      <c r="AF38" s="1" t="str">
        <f t="shared" si="4"/>
        <v/>
      </c>
      <c r="AG38" s="17"/>
      <c r="AH38" s="17"/>
      <c r="AI38" s="17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8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9" t="str">
        <f t="shared" ref="M39:M70" si="5">IF(OR(K39="",K39=0,L39=""),"",L39/K39)</f>
        <v/>
      </c>
      <c r="N39" s="17"/>
      <c r="O39" s="27"/>
      <c r="P39" s="27"/>
      <c r="Q39" s="28" t="str">
        <f t="shared" ref="Q39:Q70" si="6">IF(OR(O39="",P39=""),"",O39*P39)</f>
        <v/>
      </c>
      <c r="R39" s="17"/>
      <c r="S39" s="31" t="str">
        <f t="shared" ref="S39:S70" si="7">IF(OR(Q39="",R39=""),"",Q39*IF(R39="Monthly",12,IF(R39="Quarterly",4,IF(R39="Half-Yearly",2,IF(R39="Annual",1,IF(R39="One-time",0,1))))))</f>
        <v/>
      </c>
      <c r="T39" s="21"/>
      <c r="U39" s="21"/>
      <c r="V39" s="17"/>
      <c r="W39" s="17"/>
      <c r="X39" s="17"/>
      <c r="Y39" s="17"/>
      <c r="Z39" s="17"/>
      <c r="AA39" s="17"/>
      <c r="AB39" s="17"/>
      <c r="AC39" s="17"/>
      <c r="AD39" s="17"/>
      <c r="AE39" s="25" t="str">
        <f t="shared" ref="AE39:AE70" ca="1" si="8">IF(U39="","",U39-TODAY())</f>
        <v/>
      </c>
      <c r="AF39" s="1" t="str">
        <f t="shared" ref="AF39:AF70" si="9">IF(U39="","",IF(AD39&lt;&gt;"Active","Inactive",IF(AE39&lt;0,"Expired",IF(AE39&lt;=30,"Due within 30 days",IF(AE39&lt;=60,"Due in 31-60 days",IF(AE39&lt;=90,"Due in 61-90 days","Later"))))))</f>
        <v/>
      </c>
      <c r="AG39" s="17"/>
      <c r="AH39" s="17"/>
      <c r="AI39" s="17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8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9" t="str">
        <f t="shared" si="5"/>
        <v/>
      </c>
      <c r="N40" s="17"/>
      <c r="O40" s="27"/>
      <c r="P40" s="27"/>
      <c r="Q40" s="28" t="str">
        <f t="shared" si="6"/>
        <v/>
      </c>
      <c r="R40" s="17"/>
      <c r="S40" s="31" t="str">
        <f t="shared" si="7"/>
        <v/>
      </c>
      <c r="T40" s="21"/>
      <c r="U40" s="21"/>
      <c r="V40" s="17"/>
      <c r="W40" s="17"/>
      <c r="X40" s="17"/>
      <c r="Y40" s="17"/>
      <c r="Z40" s="17"/>
      <c r="AA40" s="17"/>
      <c r="AB40" s="17"/>
      <c r="AC40" s="17"/>
      <c r="AD40" s="17"/>
      <c r="AE40" s="25" t="str">
        <f t="shared" ca="1" si="8"/>
        <v/>
      </c>
      <c r="AF40" s="1" t="str">
        <f t="shared" si="9"/>
        <v/>
      </c>
      <c r="AG40" s="17"/>
      <c r="AH40" s="17"/>
      <c r="AI40" s="17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8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9" t="str">
        <f t="shared" si="5"/>
        <v/>
      </c>
      <c r="N41" s="17"/>
      <c r="O41" s="27"/>
      <c r="P41" s="27"/>
      <c r="Q41" s="28" t="str">
        <f t="shared" si="6"/>
        <v/>
      </c>
      <c r="R41" s="17"/>
      <c r="S41" s="31" t="str">
        <f t="shared" si="7"/>
        <v/>
      </c>
      <c r="T41" s="21"/>
      <c r="U41" s="21"/>
      <c r="V41" s="17"/>
      <c r="W41" s="17"/>
      <c r="X41" s="17"/>
      <c r="Y41" s="17"/>
      <c r="Z41" s="17"/>
      <c r="AA41" s="17"/>
      <c r="AB41" s="17"/>
      <c r="AC41" s="17"/>
      <c r="AD41" s="17"/>
      <c r="AE41" s="25" t="str">
        <f t="shared" ca="1" si="8"/>
        <v/>
      </c>
      <c r="AF41" s="1" t="str">
        <f t="shared" si="9"/>
        <v/>
      </c>
      <c r="AG41" s="17"/>
      <c r="AH41" s="17"/>
      <c r="AI41" s="17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8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9" t="str">
        <f t="shared" si="5"/>
        <v/>
      </c>
      <c r="N42" s="17"/>
      <c r="O42" s="27"/>
      <c r="P42" s="27"/>
      <c r="Q42" s="28" t="str">
        <f t="shared" si="6"/>
        <v/>
      </c>
      <c r="R42" s="17"/>
      <c r="S42" s="31" t="str">
        <f t="shared" si="7"/>
        <v/>
      </c>
      <c r="T42" s="21"/>
      <c r="U42" s="21"/>
      <c r="V42" s="17"/>
      <c r="W42" s="17"/>
      <c r="X42" s="17"/>
      <c r="Y42" s="17"/>
      <c r="Z42" s="17"/>
      <c r="AA42" s="17"/>
      <c r="AB42" s="17"/>
      <c r="AC42" s="17"/>
      <c r="AD42" s="17"/>
      <c r="AE42" s="25" t="str">
        <f t="shared" ca="1" si="8"/>
        <v/>
      </c>
      <c r="AF42" s="1" t="str">
        <f t="shared" si="9"/>
        <v/>
      </c>
      <c r="AG42" s="17"/>
      <c r="AH42" s="17"/>
      <c r="AI42" s="17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8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9" t="str">
        <f t="shared" si="5"/>
        <v/>
      </c>
      <c r="N43" s="17"/>
      <c r="O43" s="27"/>
      <c r="P43" s="27"/>
      <c r="Q43" s="28" t="str">
        <f t="shared" si="6"/>
        <v/>
      </c>
      <c r="R43" s="17"/>
      <c r="S43" s="31" t="str">
        <f t="shared" si="7"/>
        <v/>
      </c>
      <c r="T43" s="21"/>
      <c r="U43" s="21"/>
      <c r="V43" s="17"/>
      <c r="W43" s="17"/>
      <c r="X43" s="17"/>
      <c r="Y43" s="17"/>
      <c r="Z43" s="17"/>
      <c r="AA43" s="17"/>
      <c r="AB43" s="17"/>
      <c r="AC43" s="17"/>
      <c r="AD43" s="17"/>
      <c r="AE43" s="25" t="str">
        <f t="shared" ca="1" si="8"/>
        <v/>
      </c>
      <c r="AF43" s="1" t="str">
        <f t="shared" si="9"/>
        <v/>
      </c>
      <c r="AG43" s="17"/>
      <c r="AH43" s="17"/>
      <c r="AI43" s="1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8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9" t="str">
        <f t="shared" si="5"/>
        <v/>
      </c>
      <c r="N44" s="17"/>
      <c r="O44" s="27"/>
      <c r="P44" s="27"/>
      <c r="Q44" s="28" t="str">
        <f t="shared" si="6"/>
        <v/>
      </c>
      <c r="R44" s="17"/>
      <c r="S44" s="31" t="str">
        <f t="shared" si="7"/>
        <v/>
      </c>
      <c r="T44" s="21"/>
      <c r="U44" s="21"/>
      <c r="V44" s="17"/>
      <c r="W44" s="17"/>
      <c r="X44" s="17"/>
      <c r="Y44" s="17"/>
      <c r="Z44" s="17"/>
      <c r="AA44" s="17"/>
      <c r="AB44" s="17"/>
      <c r="AC44" s="17"/>
      <c r="AD44" s="17"/>
      <c r="AE44" s="25" t="str">
        <f t="shared" ca="1" si="8"/>
        <v/>
      </c>
      <c r="AF44" s="1" t="str">
        <f t="shared" si="9"/>
        <v/>
      </c>
      <c r="AG44" s="17"/>
      <c r="AH44" s="17"/>
      <c r="AI44" s="1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8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9" t="str">
        <f t="shared" si="5"/>
        <v/>
      </c>
      <c r="N45" s="17"/>
      <c r="O45" s="27"/>
      <c r="P45" s="27"/>
      <c r="Q45" s="28" t="str">
        <f t="shared" si="6"/>
        <v/>
      </c>
      <c r="R45" s="17"/>
      <c r="S45" s="31" t="str">
        <f t="shared" si="7"/>
        <v/>
      </c>
      <c r="T45" s="21"/>
      <c r="U45" s="21"/>
      <c r="V45" s="17"/>
      <c r="W45" s="17"/>
      <c r="X45" s="17"/>
      <c r="Y45" s="17"/>
      <c r="Z45" s="17"/>
      <c r="AA45" s="17"/>
      <c r="AB45" s="17"/>
      <c r="AC45" s="17"/>
      <c r="AD45" s="17"/>
      <c r="AE45" s="25" t="str">
        <f t="shared" ca="1" si="8"/>
        <v/>
      </c>
      <c r="AF45" s="1" t="str">
        <f t="shared" si="9"/>
        <v/>
      </c>
      <c r="AG45" s="17"/>
      <c r="AH45" s="17"/>
      <c r="AI45" s="1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8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9" t="str">
        <f t="shared" si="5"/>
        <v/>
      </c>
      <c r="N46" s="17"/>
      <c r="O46" s="27"/>
      <c r="P46" s="27"/>
      <c r="Q46" s="28" t="str">
        <f t="shared" si="6"/>
        <v/>
      </c>
      <c r="R46" s="17"/>
      <c r="S46" s="31" t="str">
        <f t="shared" si="7"/>
        <v/>
      </c>
      <c r="T46" s="21"/>
      <c r="U46" s="21"/>
      <c r="V46" s="17"/>
      <c r="W46" s="17"/>
      <c r="X46" s="17"/>
      <c r="Y46" s="17"/>
      <c r="Z46" s="17"/>
      <c r="AA46" s="17"/>
      <c r="AB46" s="17"/>
      <c r="AC46" s="17"/>
      <c r="AD46" s="17"/>
      <c r="AE46" s="25" t="str">
        <f t="shared" ca="1" si="8"/>
        <v/>
      </c>
      <c r="AF46" s="1" t="str">
        <f t="shared" si="9"/>
        <v/>
      </c>
      <c r="AG46" s="17"/>
      <c r="AH46" s="17"/>
      <c r="AI46" s="1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8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9" t="str">
        <f t="shared" si="5"/>
        <v/>
      </c>
      <c r="N47" s="17"/>
      <c r="O47" s="27"/>
      <c r="P47" s="27"/>
      <c r="Q47" s="28" t="str">
        <f t="shared" si="6"/>
        <v/>
      </c>
      <c r="R47" s="17"/>
      <c r="S47" s="31" t="str">
        <f t="shared" si="7"/>
        <v/>
      </c>
      <c r="T47" s="21"/>
      <c r="U47" s="21"/>
      <c r="V47" s="17"/>
      <c r="W47" s="17"/>
      <c r="X47" s="17"/>
      <c r="Y47" s="17"/>
      <c r="Z47" s="17"/>
      <c r="AA47" s="17"/>
      <c r="AB47" s="17"/>
      <c r="AC47" s="17"/>
      <c r="AD47" s="17"/>
      <c r="AE47" s="25" t="str">
        <f t="shared" ca="1" si="8"/>
        <v/>
      </c>
      <c r="AF47" s="1" t="str">
        <f t="shared" si="9"/>
        <v/>
      </c>
      <c r="AG47" s="17"/>
      <c r="AH47" s="17"/>
      <c r="AI47" s="1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8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9" t="str">
        <f t="shared" si="5"/>
        <v/>
      </c>
      <c r="N48" s="17"/>
      <c r="O48" s="27"/>
      <c r="P48" s="27"/>
      <c r="Q48" s="28" t="str">
        <f t="shared" si="6"/>
        <v/>
      </c>
      <c r="R48" s="17"/>
      <c r="S48" s="31" t="str">
        <f t="shared" si="7"/>
        <v/>
      </c>
      <c r="T48" s="21"/>
      <c r="U48" s="21"/>
      <c r="V48" s="17"/>
      <c r="W48" s="17"/>
      <c r="X48" s="17"/>
      <c r="Y48" s="17"/>
      <c r="Z48" s="17"/>
      <c r="AA48" s="17"/>
      <c r="AB48" s="17"/>
      <c r="AC48" s="17"/>
      <c r="AD48" s="17"/>
      <c r="AE48" s="25" t="str">
        <f t="shared" ca="1" si="8"/>
        <v/>
      </c>
      <c r="AF48" s="1" t="str">
        <f t="shared" si="9"/>
        <v/>
      </c>
      <c r="AG48" s="17"/>
      <c r="AH48" s="17"/>
      <c r="AI48" s="1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8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9" t="str">
        <f t="shared" si="5"/>
        <v/>
      </c>
      <c r="N49" s="17"/>
      <c r="O49" s="27"/>
      <c r="P49" s="27"/>
      <c r="Q49" s="28" t="str">
        <f t="shared" si="6"/>
        <v/>
      </c>
      <c r="R49" s="17"/>
      <c r="S49" s="31" t="str">
        <f t="shared" si="7"/>
        <v/>
      </c>
      <c r="T49" s="21"/>
      <c r="U49" s="21"/>
      <c r="V49" s="17"/>
      <c r="W49" s="17"/>
      <c r="X49" s="17"/>
      <c r="Y49" s="17"/>
      <c r="Z49" s="17"/>
      <c r="AA49" s="17"/>
      <c r="AB49" s="17"/>
      <c r="AC49" s="17"/>
      <c r="AD49" s="17"/>
      <c r="AE49" s="25" t="str">
        <f t="shared" ca="1" si="8"/>
        <v/>
      </c>
      <c r="AF49" s="1" t="str">
        <f t="shared" si="9"/>
        <v/>
      </c>
      <c r="AG49" s="17"/>
      <c r="AH49" s="17"/>
      <c r="AI49" s="1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8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9" t="str">
        <f t="shared" si="5"/>
        <v/>
      </c>
      <c r="N50" s="17"/>
      <c r="O50" s="27"/>
      <c r="P50" s="27"/>
      <c r="Q50" s="28" t="str">
        <f t="shared" si="6"/>
        <v/>
      </c>
      <c r="R50" s="17"/>
      <c r="S50" s="31" t="str">
        <f t="shared" si="7"/>
        <v/>
      </c>
      <c r="T50" s="21"/>
      <c r="U50" s="21"/>
      <c r="V50" s="17"/>
      <c r="W50" s="17"/>
      <c r="X50" s="17"/>
      <c r="Y50" s="17"/>
      <c r="Z50" s="17"/>
      <c r="AA50" s="17"/>
      <c r="AB50" s="17"/>
      <c r="AC50" s="17"/>
      <c r="AD50" s="17"/>
      <c r="AE50" s="25" t="str">
        <f t="shared" ca="1" si="8"/>
        <v/>
      </c>
      <c r="AF50" s="1" t="str">
        <f t="shared" si="9"/>
        <v/>
      </c>
      <c r="AG50" s="17"/>
      <c r="AH50" s="17"/>
      <c r="AI50" s="1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8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9" t="str">
        <f t="shared" si="5"/>
        <v/>
      </c>
      <c r="N51" s="17"/>
      <c r="O51" s="27"/>
      <c r="P51" s="27"/>
      <c r="Q51" s="28" t="str">
        <f t="shared" si="6"/>
        <v/>
      </c>
      <c r="R51" s="17"/>
      <c r="S51" s="31" t="str">
        <f t="shared" si="7"/>
        <v/>
      </c>
      <c r="T51" s="21"/>
      <c r="U51" s="21"/>
      <c r="V51" s="17"/>
      <c r="W51" s="17"/>
      <c r="X51" s="17"/>
      <c r="Y51" s="17"/>
      <c r="Z51" s="17"/>
      <c r="AA51" s="17"/>
      <c r="AB51" s="17"/>
      <c r="AC51" s="17"/>
      <c r="AD51" s="17"/>
      <c r="AE51" s="25" t="str">
        <f t="shared" ca="1" si="8"/>
        <v/>
      </c>
      <c r="AF51" s="1" t="str">
        <f t="shared" si="9"/>
        <v/>
      </c>
      <c r="AG51" s="17"/>
      <c r="AH51" s="17"/>
      <c r="AI51" s="1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8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9" t="str">
        <f t="shared" si="5"/>
        <v/>
      </c>
      <c r="N52" s="17"/>
      <c r="O52" s="27"/>
      <c r="P52" s="27"/>
      <c r="Q52" s="28" t="str">
        <f t="shared" si="6"/>
        <v/>
      </c>
      <c r="R52" s="17"/>
      <c r="S52" s="31" t="str">
        <f t="shared" si="7"/>
        <v/>
      </c>
      <c r="T52" s="21"/>
      <c r="U52" s="21"/>
      <c r="V52" s="17"/>
      <c r="W52" s="17"/>
      <c r="X52" s="17"/>
      <c r="Y52" s="17"/>
      <c r="Z52" s="17"/>
      <c r="AA52" s="17"/>
      <c r="AB52" s="17"/>
      <c r="AC52" s="17"/>
      <c r="AD52" s="17"/>
      <c r="AE52" s="25" t="str">
        <f t="shared" ca="1" si="8"/>
        <v/>
      </c>
      <c r="AF52" s="1" t="str">
        <f t="shared" si="9"/>
        <v/>
      </c>
      <c r="AG52" s="17"/>
      <c r="AH52" s="17"/>
      <c r="AI52" s="1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8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9" t="str">
        <f t="shared" si="5"/>
        <v/>
      </c>
      <c r="N53" s="17"/>
      <c r="O53" s="27"/>
      <c r="P53" s="27"/>
      <c r="Q53" s="28" t="str">
        <f t="shared" si="6"/>
        <v/>
      </c>
      <c r="R53" s="17"/>
      <c r="S53" s="31" t="str">
        <f t="shared" si="7"/>
        <v/>
      </c>
      <c r="T53" s="21"/>
      <c r="U53" s="21"/>
      <c r="V53" s="17"/>
      <c r="W53" s="17"/>
      <c r="X53" s="17"/>
      <c r="Y53" s="17"/>
      <c r="Z53" s="17"/>
      <c r="AA53" s="17"/>
      <c r="AB53" s="17"/>
      <c r="AC53" s="17"/>
      <c r="AD53" s="17"/>
      <c r="AE53" s="25" t="str">
        <f t="shared" ca="1" si="8"/>
        <v/>
      </c>
      <c r="AF53" s="1" t="str">
        <f t="shared" si="9"/>
        <v/>
      </c>
      <c r="AG53" s="17"/>
      <c r="AH53" s="17"/>
      <c r="AI53" s="1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8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9" t="str">
        <f t="shared" si="5"/>
        <v/>
      </c>
      <c r="N54" s="17"/>
      <c r="O54" s="27"/>
      <c r="P54" s="27"/>
      <c r="Q54" s="28" t="str">
        <f t="shared" si="6"/>
        <v/>
      </c>
      <c r="R54" s="17"/>
      <c r="S54" s="31" t="str">
        <f t="shared" si="7"/>
        <v/>
      </c>
      <c r="T54" s="21"/>
      <c r="U54" s="21"/>
      <c r="V54" s="17"/>
      <c r="W54" s="17"/>
      <c r="X54" s="17"/>
      <c r="Y54" s="17"/>
      <c r="Z54" s="17"/>
      <c r="AA54" s="17"/>
      <c r="AB54" s="17"/>
      <c r="AC54" s="17"/>
      <c r="AD54" s="17"/>
      <c r="AE54" s="25" t="str">
        <f t="shared" ca="1" si="8"/>
        <v/>
      </c>
      <c r="AF54" s="1" t="str">
        <f t="shared" si="9"/>
        <v/>
      </c>
      <c r="AG54" s="17"/>
      <c r="AH54" s="17"/>
      <c r="AI54" s="1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8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9" t="str">
        <f t="shared" si="5"/>
        <v/>
      </c>
      <c r="N55" s="17"/>
      <c r="O55" s="27"/>
      <c r="P55" s="27"/>
      <c r="Q55" s="28" t="str">
        <f t="shared" si="6"/>
        <v/>
      </c>
      <c r="R55" s="17"/>
      <c r="S55" s="31" t="str">
        <f t="shared" si="7"/>
        <v/>
      </c>
      <c r="T55" s="21"/>
      <c r="U55" s="21"/>
      <c r="V55" s="17"/>
      <c r="W55" s="17"/>
      <c r="X55" s="17"/>
      <c r="Y55" s="17"/>
      <c r="Z55" s="17"/>
      <c r="AA55" s="17"/>
      <c r="AB55" s="17"/>
      <c r="AC55" s="17"/>
      <c r="AD55" s="17"/>
      <c r="AE55" s="25" t="str">
        <f t="shared" ca="1" si="8"/>
        <v/>
      </c>
      <c r="AF55" s="1" t="str">
        <f t="shared" si="9"/>
        <v/>
      </c>
      <c r="AG55" s="17"/>
      <c r="AH55" s="17"/>
      <c r="AI55" s="1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8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9" t="str">
        <f t="shared" si="5"/>
        <v/>
      </c>
      <c r="N56" s="17"/>
      <c r="O56" s="27"/>
      <c r="P56" s="27"/>
      <c r="Q56" s="28" t="str">
        <f t="shared" si="6"/>
        <v/>
      </c>
      <c r="R56" s="17"/>
      <c r="S56" s="31" t="str">
        <f t="shared" si="7"/>
        <v/>
      </c>
      <c r="T56" s="21"/>
      <c r="U56" s="21"/>
      <c r="V56" s="17"/>
      <c r="W56" s="17"/>
      <c r="X56" s="17"/>
      <c r="Y56" s="17"/>
      <c r="Z56" s="17"/>
      <c r="AA56" s="17"/>
      <c r="AB56" s="17"/>
      <c r="AC56" s="17"/>
      <c r="AD56" s="17"/>
      <c r="AE56" s="25" t="str">
        <f t="shared" ca="1" si="8"/>
        <v/>
      </c>
      <c r="AF56" s="1" t="str">
        <f t="shared" si="9"/>
        <v/>
      </c>
      <c r="AG56" s="17"/>
      <c r="AH56" s="17"/>
      <c r="AI56" s="1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8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9" t="str">
        <f t="shared" si="5"/>
        <v/>
      </c>
      <c r="N57" s="17"/>
      <c r="O57" s="27"/>
      <c r="P57" s="27"/>
      <c r="Q57" s="28" t="str">
        <f t="shared" si="6"/>
        <v/>
      </c>
      <c r="R57" s="17"/>
      <c r="S57" s="31" t="str">
        <f t="shared" si="7"/>
        <v/>
      </c>
      <c r="T57" s="21"/>
      <c r="U57" s="21"/>
      <c r="V57" s="17"/>
      <c r="W57" s="17"/>
      <c r="X57" s="17"/>
      <c r="Y57" s="17"/>
      <c r="Z57" s="17"/>
      <c r="AA57" s="17"/>
      <c r="AB57" s="17"/>
      <c r="AC57" s="17"/>
      <c r="AD57" s="17"/>
      <c r="AE57" s="25" t="str">
        <f t="shared" ca="1" si="8"/>
        <v/>
      </c>
      <c r="AF57" s="1" t="str">
        <f t="shared" si="9"/>
        <v/>
      </c>
      <c r="AG57" s="17"/>
      <c r="AH57" s="17"/>
      <c r="AI57" s="1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8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9" t="str">
        <f t="shared" si="5"/>
        <v/>
      </c>
      <c r="N58" s="17"/>
      <c r="O58" s="27"/>
      <c r="P58" s="27"/>
      <c r="Q58" s="28" t="str">
        <f t="shared" si="6"/>
        <v/>
      </c>
      <c r="R58" s="17"/>
      <c r="S58" s="31" t="str">
        <f t="shared" si="7"/>
        <v/>
      </c>
      <c r="T58" s="21"/>
      <c r="U58" s="21"/>
      <c r="V58" s="17"/>
      <c r="W58" s="17"/>
      <c r="X58" s="17"/>
      <c r="Y58" s="17"/>
      <c r="Z58" s="17"/>
      <c r="AA58" s="17"/>
      <c r="AB58" s="17"/>
      <c r="AC58" s="17"/>
      <c r="AD58" s="17"/>
      <c r="AE58" s="25" t="str">
        <f t="shared" ca="1" si="8"/>
        <v/>
      </c>
      <c r="AF58" s="1" t="str">
        <f t="shared" si="9"/>
        <v/>
      </c>
      <c r="AG58" s="17"/>
      <c r="AH58" s="17"/>
      <c r="AI58" s="1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8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9" t="str">
        <f t="shared" si="5"/>
        <v/>
      </c>
      <c r="N59" s="17"/>
      <c r="O59" s="27"/>
      <c r="P59" s="27"/>
      <c r="Q59" s="28" t="str">
        <f t="shared" si="6"/>
        <v/>
      </c>
      <c r="R59" s="17"/>
      <c r="S59" s="31" t="str">
        <f t="shared" si="7"/>
        <v/>
      </c>
      <c r="T59" s="21"/>
      <c r="U59" s="21"/>
      <c r="V59" s="17"/>
      <c r="W59" s="17"/>
      <c r="X59" s="17"/>
      <c r="Y59" s="17"/>
      <c r="Z59" s="17"/>
      <c r="AA59" s="17"/>
      <c r="AB59" s="17"/>
      <c r="AC59" s="17"/>
      <c r="AD59" s="17"/>
      <c r="AE59" s="25" t="str">
        <f t="shared" ca="1" si="8"/>
        <v/>
      </c>
      <c r="AF59" s="1" t="str">
        <f t="shared" si="9"/>
        <v/>
      </c>
      <c r="AG59" s="17"/>
      <c r="AH59" s="17"/>
      <c r="AI59" s="1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8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9" t="str">
        <f t="shared" si="5"/>
        <v/>
      </c>
      <c r="N60" s="17"/>
      <c r="O60" s="27"/>
      <c r="P60" s="27"/>
      <c r="Q60" s="28" t="str">
        <f t="shared" si="6"/>
        <v/>
      </c>
      <c r="R60" s="17"/>
      <c r="S60" s="31" t="str">
        <f t="shared" si="7"/>
        <v/>
      </c>
      <c r="T60" s="21"/>
      <c r="U60" s="21"/>
      <c r="V60" s="17"/>
      <c r="W60" s="17"/>
      <c r="X60" s="17"/>
      <c r="Y60" s="17"/>
      <c r="Z60" s="17"/>
      <c r="AA60" s="17"/>
      <c r="AB60" s="17"/>
      <c r="AC60" s="17"/>
      <c r="AD60" s="17"/>
      <c r="AE60" s="25" t="str">
        <f t="shared" ca="1" si="8"/>
        <v/>
      </c>
      <c r="AF60" s="1" t="str">
        <f t="shared" si="9"/>
        <v/>
      </c>
      <c r="AG60" s="17"/>
      <c r="AH60" s="17"/>
      <c r="AI60" s="1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8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9" t="str">
        <f t="shared" si="5"/>
        <v/>
      </c>
      <c r="N61" s="17"/>
      <c r="O61" s="27"/>
      <c r="P61" s="27"/>
      <c r="Q61" s="28" t="str">
        <f t="shared" si="6"/>
        <v/>
      </c>
      <c r="R61" s="17"/>
      <c r="S61" s="31" t="str">
        <f t="shared" si="7"/>
        <v/>
      </c>
      <c r="T61" s="21"/>
      <c r="U61" s="21"/>
      <c r="V61" s="17"/>
      <c r="W61" s="17"/>
      <c r="X61" s="17"/>
      <c r="Y61" s="17"/>
      <c r="Z61" s="17"/>
      <c r="AA61" s="17"/>
      <c r="AB61" s="17"/>
      <c r="AC61" s="17"/>
      <c r="AD61" s="17"/>
      <c r="AE61" s="25" t="str">
        <f t="shared" ca="1" si="8"/>
        <v/>
      </c>
      <c r="AF61" s="1" t="str">
        <f t="shared" si="9"/>
        <v/>
      </c>
      <c r="AG61" s="17"/>
      <c r="AH61" s="17"/>
      <c r="AI61" s="1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8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9" t="str">
        <f t="shared" si="5"/>
        <v/>
      </c>
      <c r="N62" s="17"/>
      <c r="O62" s="27"/>
      <c r="P62" s="27"/>
      <c r="Q62" s="28" t="str">
        <f t="shared" si="6"/>
        <v/>
      </c>
      <c r="R62" s="17"/>
      <c r="S62" s="31" t="str">
        <f t="shared" si="7"/>
        <v/>
      </c>
      <c r="T62" s="21"/>
      <c r="U62" s="21"/>
      <c r="V62" s="17"/>
      <c r="W62" s="17"/>
      <c r="X62" s="17"/>
      <c r="Y62" s="17"/>
      <c r="Z62" s="17"/>
      <c r="AA62" s="17"/>
      <c r="AB62" s="17"/>
      <c r="AC62" s="17"/>
      <c r="AD62" s="17"/>
      <c r="AE62" s="25" t="str">
        <f t="shared" ca="1" si="8"/>
        <v/>
      </c>
      <c r="AF62" s="1" t="str">
        <f t="shared" si="9"/>
        <v/>
      </c>
      <c r="AG62" s="17"/>
      <c r="AH62" s="17"/>
      <c r="AI62" s="1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8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9" t="str">
        <f t="shared" si="5"/>
        <v/>
      </c>
      <c r="N63" s="17"/>
      <c r="O63" s="27"/>
      <c r="P63" s="27"/>
      <c r="Q63" s="28" t="str">
        <f t="shared" si="6"/>
        <v/>
      </c>
      <c r="R63" s="17"/>
      <c r="S63" s="31" t="str">
        <f t="shared" si="7"/>
        <v/>
      </c>
      <c r="T63" s="21"/>
      <c r="U63" s="21"/>
      <c r="V63" s="17"/>
      <c r="W63" s="17"/>
      <c r="X63" s="17"/>
      <c r="Y63" s="17"/>
      <c r="Z63" s="17"/>
      <c r="AA63" s="17"/>
      <c r="AB63" s="17"/>
      <c r="AC63" s="17"/>
      <c r="AD63" s="17"/>
      <c r="AE63" s="25" t="str">
        <f t="shared" ca="1" si="8"/>
        <v/>
      </c>
      <c r="AF63" s="1" t="str">
        <f t="shared" si="9"/>
        <v/>
      </c>
      <c r="AG63" s="17"/>
      <c r="AH63" s="17"/>
      <c r="AI63" s="1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8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9" t="str">
        <f t="shared" si="5"/>
        <v/>
      </c>
      <c r="N64" s="17"/>
      <c r="O64" s="27"/>
      <c r="P64" s="27"/>
      <c r="Q64" s="28" t="str">
        <f t="shared" si="6"/>
        <v/>
      </c>
      <c r="R64" s="17"/>
      <c r="S64" s="31" t="str">
        <f t="shared" si="7"/>
        <v/>
      </c>
      <c r="T64" s="21"/>
      <c r="U64" s="21"/>
      <c r="V64" s="17"/>
      <c r="W64" s="17"/>
      <c r="X64" s="17"/>
      <c r="Y64" s="17"/>
      <c r="Z64" s="17"/>
      <c r="AA64" s="17"/>
      <c r="AB64" s="17"/>
      <c r="AC64" s="17"/>
      <c r="AD64" s="17"/>
      <c r="AE64" s="25" t="str">
        <f t="shared" ca="1" si="8"/>
        <v/>
      </c>
      <c r="AF64" s="1" t="str">
        <f t="shared" si="9"/>
        <v/>
      </c>
      <c r="AG64" s="17"/>
      <c r="AH64" s="17"/>
      <c r="AI64" s="1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8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9" t="str">
        <f t="shared" si="5"/>
        <v/>
      </c>
      <c r="N65" s="17"/>
      <c r="O65" s="27"/>
      <c r="P65" s="27"/>
      <c r="Q65" s="28" t="str">
        <f t="shared" si="6"/>
        <v/>
      </c>
      <c r="R65" s="17"/>
      <c r="S65" s="31" t="str">
        <f t="shared" si="7"/>
        <v/>
      </c>
      <c r="T65" s="21"/>
      <c r="U65" s="21"/>
      <c r="V65" s="17"/>
      <c r="W65" s="17"/>
      <c r="X65" s="17"/>
      <c r="Y65" s="17"/>
      <c r="Z65" s="17"/>
      <c r="AA65" s="17"/>
      <c r="AB65" s="17"/>
      <c r="AC65" s="17"/>
      <c r="AD65" s="17"/>
      <c r="AE65" s="25" t="str">
        <f t="shared" ca="1" si="8"/>
        <v/>
      </c>
      <c r="AF65" s="1" t="str">
        <f t="shared" si="9"/>
        <v/>
      </c>
      <c r="AG65" s="17"/>
      <c r="AH65" s="17"/>
      <c r="AI65" s="1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8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9" t="str">
        <f t="shared" si="5"/>
        <v/>
      </c>
      <c r="N66" s="17"/>
      <c r="O66" s="27"/>
      <c r="P66" s="27"/>
      <c r="Q66" s="28" t="str">
        <f t="shared" si="6"/>
        <v/>
      </c>
      <c r="R66" s="17"/>
      <c r="S66" s="31" t="str">
        <f t="shared" si="7"/>
        <v/>
      </c>
      <c r="T66" s="21"/>
      <c r="U66" s="21"/>
      <c r="V66" s="17"/>
      <c r="W66" s="17"/>
      <c r="X66" s="17"/>
      <c r="Y66" s="17"/>
      <c r="Z66" s="17"/>
      <c r="AA66" s="17"/>
      <c r="AB66" s="17"/>
      <c r="AC66" s="17"/>
      <c r="AD66" s="17"/>
      <c r="AE66" s="25" t="str">
        <f t="shared" ca="1" si="8"/>
        <v/>
      </c>
      <c r="AF66" s="1" t="str">
        <f t="shared" si="9"/>
        <v/>
      </c>
      <c r="AG66" s="17"/>
      <c r="AH66" s="17"/>
      <c r="AI66" s="1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8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9" t="str">
        <f t="shared" si="5"/>
        <v/>
      </c>
      <c r="N67" s="17"/>
      <c r="O67" s="27"/>
      <c r="P67" s="27"/>
      <c r="Q67" s="28" t="str">
        <f t="shared" si="6"/>
        <v/>
      </c>
      <c r="R67" s="17"/>
      <c r="S67" s="31" t="str">
        <f t="shared" si="7"/>
        <v/>
      </c>
      <c r="T67" s="21"/>
      <c r="U67" s="21"/>
      <c r="V67" s="17"/>
      <c r="W67" s="17"/>
      <c r="X67" s="17"/>
      <c r="Y67" s="17"/>
      <c r="Z67" s="17"/>
      <c r="AA67" s="17"/>
      <c r="AB67" s="17"/>
      <c r="AC67" s="17"/>
      <c r="AD67" s="17"/>
      <c r="AE67" s="25" t="str">
        <f t="shared" ca="1" si="8"/>
        <v/>
      </c>
      <c r="AF67" s="1" t="str">
        <f t="shared" si="9"/>
        <v/>
      </c>
      <c r="AG67" s="17"/>
      <c r="AH67" s="17"/>
      <c r="AI67" s="1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8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9" t="str">
        <f t="shared" si="5"/>
        <v/>
      </c>
      <c r="N68" s="17"/>
      <c r="O68" s="27"/>
      <c r="P68" s="27"/>
      <c r="Q68" s="28" t="str">
        <f t="shared" si="6"/>
        <v/>
      </c>
      <c r="R68" s="17"/>
      <c r="S68" s="31" t="str">
        <f t="shared" si="7"/>
        <v/>
      </c>
      <c r="T68" s="21"/>
      <c r="U68" s="21"/>
      <c r="V68" s="17"/>
      <c r="W68" s="17"/>
      <c r="X68" s="17"/>
      <c r="Y68" s="17"/>
      <c r="Z68" s="17"/>
      <c r="AA68" s="17"/>
      <c r="AB68" s="17"/>
      <c r="AC68" s="17"/>
      <c r="AD68" s="17"/>
      <c r="AE68" s="25" t="str">
        <f t="shared" ca="1" si="8"/>
        <v/>
      </c>
      <c r="AF68" s="1" t="str">
        <f t="shared" si="9"/>
        <v/>
      </c>
      <c r="AG68" s="17"/>
      <c r="AH68" s="17"/>
      <c r="AI68" s="1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8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9" t="str">
        <f t="shared" si="5"/>
        <v/>
      </c>
      <c r="N69" s="17"/>
      <c r="O69" s="27"/>
      <c r="P69" s="27"/>
      <c r="Q69" s="28" t="str">
        <f t="shared" si="6"/>
        <v/>
      </c>
      <c r="R69" s="17"/>
      <c r="S69" s="31" t="str">
        <f t="shared" si="7"/>
        <v/>
      </c>
      <c r="T69" s="21"/>
      <c r="U69" s="21"/>
      <c r="V69" s="17"/>
      <c r="W69" s="17"/>
      <c r="X69" s="17"/>
      <c r="Y69" s="17"/>
      <c r="Z69" s="17"/>
      <c r="AA69" s="17"/>
      <c r="AB69" s="17"/>
      <c r="AC69" s="17"/>
      <c r="AD69" s="17"/>
      <c r="AE69" s="25" t="str">
        <f t="shared" ca="1" si="8"/>
        <v/>
      </c>
      <c r="AF69" s="1" t="str">
        <f t="shared" si="9"/>
        <v/>
      </c>
      <c r="AG69" s="17"/>
      <c r="AH69" s="17"/>
      <c r="AI69" s="1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8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9" t="str">
        <f t="shared" si="5"/>
        <v/>
      </c>
      <c r="N70" s="17"/>
      <c r="O70" s="27"/>
      <c r="P70" s="27"/>
      <c r="Q70" s="28" t="str">
        <f t="shared" si="6"/>
        <v/>
      </c>
      <c r="R70" s="17"/>
      <c r="S70" s="31" t="str">
        <f t="shared" si="7"/>
        <v/>
      </c>
      <c r="T70" s="21"/>
      <c r="U70" s="21"/>
      <c r="V70" s="17"/>
      <c r="W70" s="17"/>
      <c r="X70" s="17"/>
      <c r="Y70" s="17"/>
      <c r="Z70" s="17"/>
      <c r="AA70" s="17"/>
      <c r="AB70" s="17"/>
      <c r="AC70" s="17"/>
      <c r="AD70" s="17"/>
      <c r="AE70" s="25" t="str">
        <f t="shared" ca="1" si="8"/>
        <v/>
      </c>
      <c r="AF70" s="1" t="str">
        <f t="shared" si="9"/>
        <v/>
      </c>
      <c r="AG70" s="17"/>
      <c r="AH70" s="17"/>
      <c r="AI70" s="1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8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9" t="str">
        <f t="shared" ref="M71:M102" si="10">IF(OR(K71="",K71=0,L71=""),"",L71/K71)</f>
        <v/>
      </c>
      <c r="N71" s="17"/>
      <c r="O71" s="27"/>
      <c r="P71" s="27"/>
      <c r="Q71" s="28" t="str">
        <f t="shared" ref="Q71:Q102" si="11">IF(OR(O71="",P71=""),"",O71*P71)</f>
        <v/>
      </c>
      <c r="R71" s="17"/>
      <c r="S71" s="31" t="str">
        <f t="shared" ref="S71:S102" si="12">IF(OR(Q71="",R71=""),"",Q71*IF(R71="Monthly",12,IF(R71="Quarterly",4,IF(R71="Half-Yearly",2,IF(R71="Annual",1,IF(R71="One-time",0,1))))))</f>
        <v/>
      </c>
      <c r="T71" s="21"/>
      <c r="U71" s="21"/>
      <c r="V71" s="17"/>
      <c r="W71" s="17"/>
      <c r="X71" s="17"/>
      <c r="Y71" s="17"/>
      <c r="Z71" s="17"/>
      <c r="AA71" s="17"/>
      <c r="AB71" s="17"/>
      <c r="AC71" s="17"/>
      <c r="AD71" s="17"/>
      <c r="AE71" s="25" t="str">
        <f t="shared" ref="AE71:AE102" ca="1" si="13">IF(U71="","",U71-TODAY())</f>
        <v/>
      </c>
      <c r="AF71" s="1" t="str">
        <f t="shared" ref="AF71:AF102" si="14">IF(U71="","",IF(AD71&lt;&gt;"Active","Inactive",IF(AE71&lt;0,"Expired",IF(AE71&lt;=30,"Due within 30 days",IF(AE71&lt;=60,"Due in 31-60 days",IF(AE71&lt;=90,"Due in 61-90 days","Later"))))))</f>
        <v/>
      </c>
      <c r="AG71" s="17"/>
      <c r="AH71" s="17"/>
      <c r="AI71" s="1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8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9" t="str">
        <f t="shared" si="10"/>
        <v/>
      </c>
      <c r="N72" s="17"/>
      <c r="O72" s="27"/>
      <c r="P72" s="27"/>
      <c r="Q72" s="28" t="str">
        <f t="shared" si="11"/>
        <v/>
      </c>
      <c r="R72" s="17"/>
      <c r="S72" s="31" t="str">
        <f t="shared" si="12"/>
        <v/>
      </c>
      <c r="T72" s="21"/>
      <c r="U72" s="21"/>
      <c r="V72" s="17"/>
      <c r="W72" s="17"/>
      <c r="X72" s="17"/>
      <c r="Y72" s="17"/>
      <c r="Z72" s="17"/>
      <c r="AA72" s="17"/>
      <c r="AB72" s="17"/>
      <c r="AC72" s="17"/>
      <c r="AD72" s="17"/>
      <c r="AE72" s="25" t="str">
        <f t="shared" ca="1" si="13"/>
        <v/>
      </c>
      <c r="AF72" s="1" t="str">
        <f t="shared" si="14"/>
        <v/>
      </c>
      <c r="AG72" s="17"/>
      <c r="AH72" s="17"/>
      <c r="AI72" s="1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8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9" t="str">
        <f t="shared" si="10"/>
        <v/>
      </c>
      <c r="N73" s="17"/>
      <c r="O73" s="27"/>
      <c r="P73" s="27"/>
      <c r="Q73" s="28" t="str">
        <f t="shared" si="11"/>
        <v/>
      </c>
      <c r="R73" s="17"/>
      <c r="S73" s="31" t="str">
        <f t="shared" si="12"/>
        <v/>
      </c>
      <c r="T73" s="21"/>
      <c r="U73" s="21"/>
      <c r="V73" s="17"/>
      <c r="W73" s="17"/>
      <c r="X73" s="17"/>
      <c r="Y73" s="17"/>
      <c r="Z73" s="17"/>
      <c r="AA73" s="17"/>
      <c r="AB73" s="17"/>
      <c r="AC73" s="17"/>
      <c r="AD73" s="17"/>
      <c r="AE73" s="25" t="str">
        <f t="shared" ca="1" si="13"/>
        <v/>
      </c>
      <c r="AF73" s="1" t="str">
        <f t="shared" si="14"/>
        <v/>
      </c>
      <c r="AG73" s="17"/>
      <c r="AH73" s="17"/>
      <c r="AI73" s="1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8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9" t="str">
        <f t="shared" si="10"/>
        <v/>
      </c>
      <c r="N74" s="17"/>
      <c r="O74" s="27"/>
      <c r="P74" s="27"/>
      <c r="Q74" s="28" t="str">
        <f t="shared" si="11"/>
        <v/>
      </c>
      <c r="R74" s="17"/>
      <c r="S74" s="31" t="str">
        <f t="shared" si="12"/>
        <v/>
      </c>
      <c r="T74" s="21"/>
      <c r="U74" s="21"/>
      <c r="V74" s="17"/>
      <c r="W74" s="17"/>
      <c r="X74" s="17"/>
      <c r="Y74" s="17"/>
      <c r="Z74" s="17"/>
      <c r="AA74" s="17"/>
      <c r="AB74" s="17"/>
      <c r="AC74" s="17"/>
      <c r="AD74" s="17"/>
      <c r="AE74" s="25" t="str">
        <f t="shared" ca="1" si="13"/>
        <v/>
      </c>
      <c r="AF74" s="1" t="str">
        <f t="shared" si="14"/>
        <v/>
      </c>
      <c r="AG74" s="17"/>
      <c r="AH74" s="17"/>
      <c r="AI74" s="1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8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9" t="str">
        <f t="shared" si="10"/>
        <v/>
      </c>
      <c r="N75" s="17"/>
      <c r="O75" s="27"/>
      <c r="P75" s="27"/>
      <c r="Q75" s="28" t="str">
        <f t="shared" si="11"/>
        <v/>
      </c>
      <c r="R75" s="17"/>
      <c r="S75" s="31" t="str">
        <f t="shared" si="12"/>
        <v/>
      </c>
      <c r="T75" s="21"/>
      <c r="U75" s="21"/>
      <c r="V75" s="17"/>
      <c r="W75" s="17"/>
      <c r="X75" s="17"/>
      <c r="Y75" s="17"/>
      <c r="Z75" s="17"/>
      <c r="AA75" s="17"/>
      <c r="AB75" s="17"/>
      <c r="AC75" s="17"/>
      <c r="AD75" s="17"/>
      <c r="AE75" s="25" t="str">
        <f t="shared" ca="1" si="13"/>
        <v/>
      </c>
      <c r="AF75" s="1" t="str">
        <f t="shared" si="14"/>
        <v/>
      </c>
      <c r="AG75" s="17"/>
      <c r="AH75" s="17"/>
      <c r="AI75" s="1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8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9" t="str">
        <f t="shared" si="10"/>
        <v/>
      </c>
      <c r="N76" s="17"/>
      <c r="O76" s="27"/>
      <c r="P76" s="27"/>
      <c r="Q76" s="28" t="str">
        <f t="shared" si="11"/>
        <v/>
      </c>
      <c r="R76" s="17"/>
      <c r="S76" s="31" t="str">
        <f t="shared" si="12"/>
        <v/>
      </c>
      <c r="T76" s="21"/>
      <c r="U76" s="21"/>
      <c r="V76" s="17"/>
      <c r="W76" s="17"/>
      <c r="X76" s="17"/>
      <c r="Y76" s="17"/>
      <c r="Z76" s="17"/>
      <c r="AA76" s="17"/>
      <c r="AB76" s="17"/>
      <c r="AC76" s="17"/>
      <c r="AD76" s="17"/>
      <c r="AE76" s="25" t="str">
        <f t="shared" ca="1" si="13"/>
        <v/>
      </c>
      <c r="AF76" s="1" t="str">
        <f t="shared" si="14"/>
        <v/>
      </c>
      <c r="AG76" s="17"/>
      <c r="AH76" s="17"/>
      <c r="AI76" s="17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8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9" t="str">
        <f t="shared" si="10"/>
        <v/>
      </c>
      <c r="N77" s="17"/>
      <c r="O77" s="27"/>
      <c r="P77" s="27"/>
      <c r="Q77" s="28" t="str">
        <f t="shared" si="11"/>
        <v/>
      </c>
      <c r="R77" s="17"/>
      <c r="S77" s="31" t="str">
        <f t="shared" si="12"/>
        <v/>
      </c>
      <c r="T77" s="21"/>
      <c r="U77" s="21"/>
      <c r="V77" s="17"/>
      <c r="W77" s="17"/>
      <c r="X77" s="17"/>
      <c r="Y77" s="17"/>
      <c r="Z77" s="17"/>
      <c r="AA77" s="17"/>
      <c r="AB77" s="17"/>
      <c r="AC77" s="17"/>
      <c r="AD77" s="17"/>
      <c r="AE77" s="25" t="str">
        <f t="shared" ca="1" si="13"/>
        <v/>
      </c>
      <c r="AF77" s="1" t="str">
        <f t="shared" si="14"/>
        <v/>
      </c>
      <c r="AG77" s="17"/>
      <c r="AH77" s="17"/>
      <c r="AI77" s="17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8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9" t="str">
        <f t="shared" si="10"/>
        <v/>
      </c>
      <c r="N78" s="17"/>
      <c r="O78" s="27"/>
      <c r="P78" s="27"/>
      <c r="Q78" s="28" t="str">
        <f t="shared" si="11"/>
        <v/>
      </c>
      <c r="R78" s="17"/>
      <c r="S78" s="31" t="str">
        <f t="shared" si="12"/>
        <v/>
      </c>
      <c r="T78" s="21"/>
      <c r="U78" s="21"/>
      <c r="V78" s="17"/>
      <c r="W78" s="17"/>
      <c r="X78" s="17"/>
      <c r="Y78" s="17"/>
      <c r="Z78" s="17"/>
      <c r="AA78" s="17"/>
      <c r="AB78" s="17"/>
      <c r="AC78" s="17"/>
      <c r="AD78" s="17"/>
      <c r="AE78" s="25" t="str">
        <f t="shared" ca="1" si="13"/>
        <v/>
      </c>
      <c r="AF78" s="1" t="str">
        <f t="shared" si="14"/>
        <v/>
      </c>
      <c r="AG78" s="17"/>
      <c r="AH78" s="17"/>
      <c r="AI78" s="17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8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9" t="str">
        <f t="shared" si="10"/>
        <v/>
      </c>
      <c r="N79" s="17"/>
      <c r="O79" s="27"/>
      <c r="P79" s="27"/>
      <c r="Q79" s="28" t="str">
        <f t="shared" si="11"/>
        <v/>
      </c>
      <c r="R79" s="17"/>
      <c r="S79" s="31" t="str">
        <f t="shared" si="12"/>
        <v/>
      </c>
      <c r="T79" s="21"/>
      <c r="U79" s="21"/>
      <c r="V79" s="17"/>
      <c r="W79" s="17"/>
      <c r="X79" s="17"/>
      <c r="Y79" s="17"/>
      <c r="Z79" s="17"/>
      <c r="AA79" s="17"/>
      <c r="AB79" s="17"/>
      <c r="AC79" s="17"/>
      <c r="AD79" s="17"/>
      <c r="AE79" s="25" t="str">
        <f t="shared" ca="1" si="13"/>
        <v/>
      </c>
      <c r="AF79" s="1" t="str">
        <f t="shared" si="14"/>
        <v/>
      </c>
      <c r="AG79" s="17"/>
      <c r="AH79" s="17"/>
      <c r="AI79" s="17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8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9" t="str">
        <f t="shared" si="10"/>
        <v/>
      </c>
      <c r="N80" s="17"/>
      <c r="O80" s="27"/>
      <c r="P80" s="27"/>
      <c r="Q80" s="28" t="str">
        <f t="shared" si="11"/>
        <v/>
      </c>
      <c r="R80" s="17"/>
      <c r="S80" s="31" t="str">
        <f t="shared" si="12"/>
        <v/>
      </c>
      <c r="T80" s="21"/>
      <c r="U80" s="21"/>
      <c r="V80" s="17"/>
      <c r="W80" s="17"/>
      <c r="X80" s="17"/>
      <c r="Y80" s="17"/>
      <c r="Z80" s="17"/>
      <c r="AA80" s="17"/>
      <c r="AB80" s="17"/>
      <c r="AC80" s="17"/>
      <c r="AD80" s="17"/>
      <c r="AE80" s="25" t="str">
        <f t="shared" ca="1" si="13"/>
        <v/>
      </c>
      <c r="AF80" s="1" t="str">
        <f t="shared" si="14"/>
        <v/>
      </c>
      <c r="AG80" s="17"/>
      <c r="AH80" s="17"/>
      <c r="AI80" s="17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8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9" t="str">
        <f t="shared" si="10"/>
        <v/>
      </c>
      <c r="N81" s="17"/>
      <c r="O81" s="27"/>
      <c r="P81" s="27"/>
      <c r="Q81" s="28" t="str">
        <f t="shared" si="11"/>
        <v/>
      </c>
      <c r="R81" s="17"/>
      <c r="S81" s="31" t="str">
        <f t="shared" si="12"/>
        <v/>
      </c>
      <c r="T81" s="21"/>
      <c r="U81" s="21"/>
      <c r="V81" s="17"/>
      <c r="W81" s="17"/>
      <c r="X81" s="17"/>
      <c r="Y81" s="17"/>
      <c r="Z81" s="17"/>
      <c r="AA81" s="17"/>
      <c r="AB81" s="17"/>
      <c r="AC81" s="17"/>
      <c r="AD81" s="17"/>
      <c r="AE81" s="25" t="str">
        <f t="shared" ca="1" si="13"/>
        <v/>
      </c>
      <c r="AF81" s="1" t="str">
        <f t="shared" si="14"/>
        <v/>
      </c>
      <c r="AG81" s="17"/>
      <c r="AH81" s="17"/>
      <c r="AI81" s="17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8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9" t="str">
        <f t="shared" si="10"/>
        <v/>
      </c>
      <c r="N82" s="17"/>
      <c r="O82" s="27"/>
      <c r="P82" s="27"/>
      <c r="Q82" s="28" t="str">
        <f t="shared" si="11"/>
        <v/>
      </c>
      <c r="R82" s="17"/>
      <c r="S82" s="31" t="str">
        <f t="shared" si="12"/>
        <v/>
      </c>
      <c r="T82" s="21"/>
      <c r="U82" s="21"/>
      <c r="V82" s="17"/>
      <c r="W82" s="17"/>
      <c r="X82" s="17"/>
      <c r="Y82" s="17"/>
      <c r="Z82" s="17"/>
      <c r="AA82" s="17"/>
      <c r="AB82" s="17"/>
      <c r="AC82" s="17"/>
      <c r="AD82" s="17"/>
      <c r="AE82" s="25" t="str">
        <f t="shared" ca="1" si="13"/>
        <v/>
      </c>
      <c r="AF82" s="1" t="str">
        <f t="shared" si="14"/>
        <v/>
      </c>
      <c r="AG82" s="17"/>
      <c r="AH82" s="17"/>
      <c r="AI82" s="17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8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9" t="str">
        <f t="shared" si="10"/>
        <v/>
      </c>
      <c r="N83" s="17"/>
      <c r="O83" s="27"/>
      <c r="P83" s="27"/>
      <c r="Q83" s="28" t="str">
        <f t="shared" si="11"/>
        <v/>
      </c>
      <c r="R83" s="17"/>
      <c r="S83" s="31" t="str">
        <f t="shared" si="12"/>
        <v/>
      </c>
      <c r="T83" s="21"/>
      <c r="U83" s="21"/>
      <c r="V83" s="17"/>
      <c r="W83" s="17"/>
      <c r="X83" s="17"/>
      <c r="Y83" s="17"/>
      <c r="Z83" s="17"/>
      <c r="AA83" s="17"/>
      <c r="AB83" s="17"/>
      <c r="AC83" s="17"/>
      <c r="AD83" s="17"/>
      <c r="AE83" s="25" t="str">
        <f t="shared" ca="1" si="13"/>
        <v/>
      </c>
      <c r="AF83" s="1" t="str">
        <f t="shared" si="14"/>
        <v/>
      </c>
      <c r="AG83" s="17"/>
      <c r="AH83" s="17"/>
      <c r="AI83" s="17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8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9" t="str">
        <f t="shared" si="10"/>
        <v/>
      </c>
      <c r="N84" s="17"/>
      <c r="O84" s="27"/>
      <c r="P84" s="27"/>
      <c r="Q84" s="28" t="str">
        <f t="shared" si="11"/>
        <v/>
      </c>
      <c r="R84" s="17"/>
      <c r="S84" s="31" t="str">
        <f t="shared" si="12"/>
        <v/>
      </c>
      <c r="T84" s="21"/>
      <c r="U84" s="21"/>
      <c r="V84" s="17"/>
      <c r="W84" s="17"/>
      <c r="X84" s="17"/>
      <c r="Y84" s="17"/>
      <c r="Z84" s="17"/>
      <c r="AA84" s="17"/>
      <c r="AB84" s="17"/>
      <c r="AC84" s="17"/>
      <c r="AD84" s="17"/>
      <c r="AE84" s="25" t="str">
        <f t="shared" ca="1" si="13"/>
        <v/>
      </c>
      <c r="AF84" s="1" t="str">
        <f t="shared" si="14"/>
        <v/>
      </c>
      <c r="AG84" s="17"/>
      <c r="AH84" s="17"/>
      <c r="AI84" s="17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8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9" t="str">
        <f t="shared" si="10"/>
        <v/>
      </c>
      <c r="N85" s="17"/>
      <c r="O85" s="27"/>
      <c r="P85" s="27"/>
      <c r="Q85" s="28" t="str">
        <f t="shared" si="11"/>
        <v/>
      </c>
      <c r="R85" s="17"/>
      <c r="S85" s="31" t="str">
        <f t="shared" si="12"/>
        <v/>
      </c>
      <c r="T85" s="21"/>
      <c r="U85" s="21"/>
      <c r="V85" s="17"/>
      <c r="W85" s="17"/>
      <c r="X85" s="17"/>
      <c r="Y85" s="17"/>
      <c r="Z85" s="17"/>
      <c r="AA85" s="17"/>
      <c r="AB85" s="17"/>
      <c r="AC85" s="17"/>
      <c r="AD85" s="17"/>
      <c r="AE85" s="25" t="str">
        <f t="shared" ca="1" si="13"/>
        <v/>
      </c>
      <c r="AF85" s="1" t="str">
        <f t="shared" si="14"/>
        <v/>
      </c>
      <c r="AG85" s="17"/>
      <c r="AH85" s="17"/>
      <c r="AI85" s="17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8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9" t="str">
        <f t="shared" si="10"/>
        <v/>
      </c>
      <c r="N86" s="17"/>
      <c r="O86" s="27"/>
      <c r="P86" s="27"/>
      <c r="Q86" s="28" t="str">
        <f t="shared" si="11"/>
        <v/>
      </c>
      <c r="R86" s="17"/>
      <c r="S86" s="31" t="str">
        <f t="shared" si="12"/>
        <v/>
      </c>
      <c r="T86" s="21"/>
      <c r="U86" s="21"/>
      <c r="V86" s="17"/>
      <c r="W86" s="17"/>
      <c r="X86" s="17"/>
      <c r="Y86" s="17"/>
      <c r="Z86" s="17"/>
      <c r="AA86" s="17"/>
      <c r="AB86" s="17"/>
      <c r="AC86" s="17"/>
      <c r="AD86" s="17"/>
      <c r="AE86" s="25" t="str">
        <f t="shared" ca="1" si="13"/>
        <v/>
      </c>
      <c r="AF86" s="1" t="str">
        <f t="shared" si="14"/>
        <v/>
      </c>
      <c r="AG86" s="17"/>
      <c r="AH86" s="17"/>
      <c r="AI86" s="17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8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9" t="str">
        <f t="shared" si="10"/>
        <v/>
      </c>
      <c r="N87" s="17"/>
      <c r="O87" s="27"/>
      <c r="P87" s="27"/>
      <c r="Q87" s="28" t="str">
        <f t="shared" si="11"/>
        <v/>
      </c>
      <c r="R87" s="17"/>
      <c r="S87" s="31" t="str">
        <f t="shared" si="12"/>
        <v/>
      </c>
      <c r="T87" s="21"/>
      <c r="U87" s="21"/>
      <c r="V87" s="17"/>
      <c r="W87" s="17"/>
      <c r="X87" s="17"/>
      <c r="Y87" s="17"/>
      <c r="Z87" s="17"/>
      <c r="AA87" s="17"/>
      <c r="AB87" s="17"/>
      <c r="AC87" s="17"/>
      <c r="AD87" s="17"/>
      <c r="AE87" s="25" t="str">
        <f t="shared" ca="1" si="13"/>
        <v/>
      </c>
      <c r="AF87" s="1" t="str">
        <f t="shared" si="14"/>
        <v/>
      </c>
      <c r="AG87" s="17"/>
      <c r="AH87" s="17"/>
      <c r="AI87" s="17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8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9" t="str">
        <f t="shared" si="10"/>
        <v/>
      </c>
      <c r="N88" s="17"/>
      <c r="O88" s="27"/>
      <c r="P88" s="27"/>
      <c r="Q88" s="28" t="str">
        <f t="shared" si="11"/>
        <v/>
      </c>
      <c r="R88" s="17"/>
      <c r="S88" s="31" t="str">
        <f t="shared" si="12"/>
        <v/>
      </c>
      <c r="T88" s="21"/>
      <c r="U88" s="21"/>
      <c r="V88" s="17"/>
      <c r="W88" s="17"/>
      <c r="X88" s="17"/>
      <c r="Y88" s="17"/>
      <c r="Z88" s="17"/>
      <c r="AA88" s="17"/>
      <c r="AB88" s="17"/>
      <c r="AC88" s="17"/>
      <c r="AD88" s="17"/>
      <c r="AE88" s="25" t="str">
        <f t="shared" ca="1" si="13"/>
        <v/>
      </c>
      <c r="AF88" s="1" t="str">
        <f t="shared" si="14"/>
        <v/>
      </c>
      <c r="AG88" s="17"/>
      <c r="AH88" s="17"/>
      <c r="AI88" s="17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8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9" t="str">
        <f t="shared" si="10"/>
        <v/>
      </c>
      <c r="N89" s="17"/>
      <c r="O89" s="27"/>
      <c r="P89" s="27"/>
      <c r="Q89" s="28" t="str">
        <f t="shared" si="11"/>
        <v/>
      </c>
      <c r="R89" s="17"/>
      <c r="S89" s="31" t="str">
        <f t="shared" si="12"/>
        <v/>
      </c>
      <c r="T89" s="21"/>
      <c r="U89" s="21"/>
      <c r="V89" s="17"/>
      <c r="W89" s="17"/>
      <c r="X89" s="17"/>
      <c r="Y89" s="17"/>
      <c r="Z89" s="17"/>
      <c r="AA89" s="17"/>
      <c r="AB89" s="17"/>
      <c r="AC89" s="17"/>
      <c r="AD89" s="17"/>
      <c r="AE89" s="25" t="str">
        <f t="shared" ca="1" si="13"/>
        <v/>
      </c>
      <c r="AF89" s="1" t="str">
        <f t="shared" si="14"/>
        <v/>
      </c>
      <c r="AG89" s="17"/>
      <c r="AH89" s="17"/>
      <c r="AI89" s="17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8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9" t="str">
        <f t="shared" si="10"/>
        <v/>
      </c>
      <c r="N90" s="17"/>
      <c r="O90" s="27"/>
      <c r="P90" s="27"/>
      <c r="Q90" s="28" t="str">
        <f t="shared" si="11"/>
        <v/>
      </c>
      <c r="R90" s="17"/>
      <c r="S90" s="31" t="str">
        <f t="shared" si="12"/>
        <v/>
      </c>
      <c r="T90" s="21"/>
      <c r="U90" s="21"/>
      <c r="V90" s="17"/>
      <c r="W90" s="17"/>
      <c r="X90" s="17"/>
      <c r="Y90" s="17"/>
      <c r="Z90" s="17"/>
      <c r="AA90" s="17"/>
      <c r="AB90" s="17"/>
      <c r="AC90" s="17"/>
      <c r="AD90" s="17"/>
      <c r="AE90" s="25" t="str">
        <f t="shared" ca="1" si="13"/>
        <v/>
      </c>
      <c r="AF90" s="1" t="str">
        <f t="shared" si="14"/>
        <v/>
      </c>
      <c r="AG90" s="17"/>
      <c r="AH90" s="17"/>
      <c r="AI90" s="17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8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9" t="str">
        <f t="shared" si="10"/>
        <v/>
      </c>
      <c r="N91" s="17"/>
      <c r="O91" s="27"/>
      <c r="P91" s="27"/>
      <c r="Q91" s="28" t="str">
        <f t="shared" si="11"/>
        <v/>
      </c>
      <c r="R91" s="17"/>
      <c r="S91" s="31" t="str">
        <f t="shared" si="12"/>
        <v/>
      </c>
      <c r="T91" s="21"/>
      <c r="U91" s="21"/>
      <c r="V91" s="17"/>
      <c r="W91" s="17"/>
      <c r="X91" s="17"/>
      <c r="Y91" s="17"/>
      <c r="Z91" s="17"/>
      <c r="AA91" s="17"/>
      <c r="AB91" s="17"/>
      <c r="AC91" s="17"/>
      <c r="AD91" s="17"/>
      <c r="AE91" s="25" t="str">
        <f t="shared" ca="1" si="13"/>
        <v/>
      </c>
      <c r="AF91" s="1" t="str">
        <f t="shared" si="14"/>
        <v/>
      </c>
      <c r="AG91" s="17"/>
      <c r="AH91" s="17"/>
      <c r="AI91" s="17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8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9" t="str">
        <f t="shared" si="10"/>
        <v/>
      </c>
      <c r="N92" s="17"/>
      <c r="O92" s="27"/>
      <c r="P92" s="27"/>
      <c r="Q92" s="28" t="str">
        <f t="shared" si="11"/>
        <v/>
      </c>
      <c r="R92" s="17"/>
      <c r="S92" s="31" t="str">
        <f t="shared" si="12"/>
        <v/>
      </c>
      <c r="T92" s="21"/>
      <c r="U92" s="21"/>
      <c r="V92" s="17"/>
      <c r="W92" s="17"/>
      <c r="X92" s="17"/>
      <c r="Y92" s="17"/>
      <c r="Z92" s="17"/>
      <c r="AA92" s="17"/>
      <c r="AB92" s="17"/>
      <c r="AC92" s="17"/>
      <c r="AD92" s="17"/>
      <c r="AE92" s="25" t="str">
        <f t="shared" ca="1" si="13"/>
        <v/>
      </c>
      <c r="AF92" s="1" t="str">
        <f t="shared" si="14"/>
        <v/>
      </c>
      <c r="AG92" s="17"/>
      <c r="AH92" s="17"/>
      <c r="AI92" s="17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8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9" t="str">
        <f t="shared" si="10"/>
        <v/>
      </c>
      <c r="N93" s="17"/>
      <c r="O93" s="27"/>
      <c r="P93" s="27"/>
      <c r="Q93" s="28" t="str">
        <f t="shared" si="11"/>
        <v/>
      </c>
      <c r="R93" s="17"/>
      <c r="S93" s="31" t="str">
        <f t="shared" si="12"/>
        <v/>
      </c>
      <c r="T93" s="21"/>
      <c r="U93" s="21"/>
      <c r="V93" s="17"/>
      <c r="W93" s="17"/>
      <c r="X93" s="17"/>
      <c r="Y93" s="17"/>
      <c r="Z93" s="17"/>
      <c r="AA93" s="17"/>
      <c r="AB93" s="17"/>
      <c r="AC93" s="17"/>
      <c r="AD93" s="17"/>
      <c r="AE93" s="25" t="str">
        <f t="shared" ca="1" si="13"/>
        <v/>
      </c>
      <c r="AF93" s="1" t="str">
        <f t="shared" si="14"/>
        <v/>
      </c>
      <c r="AG93" s="17"/>
      <c r="AH93" s="17"/>
      <c r="AI93" s="17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8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9" t="str">
        <f t="shared" si="10"/>
        <v/>
      </c>
      <c r="N94" s="17"/>
      <c r="O94" s="27"/>
      <c r="P94" s="27"/>
      <c r="Q94" s="28" t="str">
        <f t="shared" si="11"/>
        <v/>
      </c>
      <c r="R94" s="17"/>
      <c r="S94" s="31" t="str">
        <f t="shared" si="12"/>
        <v/>
      </c>
      <c r="T94" s="21"/>
      <c r="U94" s="21"/>
      <c r="V94" s="17"/>
      <c r="W94" s="17"/>
      <c r="X94" s="17"/>
      <c r="Y94" s="17"/>
      <c r="Z94" s="17"/>
      <c r="AA94" s="17"/>
      <c r="AB94" s="17"/>
      <c r="AC94" s="17"/>
      <c r="AD94" s="17"/>
      <c r="AE94" s="25" t="str">
        <f t="shared" ca="1" si="13"/>
        <v/>
      </c>
      <c r="AF94" s="1" t="str">
        <f t="shared" si="14"/>
        <v/>
      </c>
      <c r="AG94" s="17"/>
      <c r="AH94" s="17"/>
      <c r="AI94" s="17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8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9" t="str">
        <f t="shared" si="10"/>
        <v/>
      </c>
      <c r="N95" s="17"/>
      <c r="O95" s="27"/>
      <c r="P95" s="27"/>
      <c r="Q95" s="28" t="str">
        <f t="shared" si="11"/>
        <v/>
      </c>
      <c r="R95" s="17"/>
      <c r="S95" s="31" t="str">
        <f t="shared" si="12"/>
        <v/>
      </c>
      <c r="T95" s="21"/>
      <c r="U95" s="21"/>
      <c r="V95" s="17"/>
      <c r="W95" s="17"/>
      <c r="X95" s="17"/>
      <c r="Y95" s="17"/>
      <c r="Z95" s="17"/>
      <c r="AA95" s="17"/>
      <c r="AB95" s="17"/>
      <c r="AC95" s="17"/>
      <c r="AD95" s="17"/>
      <c r="AE95" s="25" t="str">
        <f t="shared" ca="1" si="13"/>
        <v/>
      </c>
      <c r="AF95" s="1" t="str">
        <f t="shared" si="14"/>
        <v/>
      </c>
      <c r="AG95" s="17"/>
      <c r="AH95" s="17"/>
      <c r="AI95" s="17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8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9" t="str">
        <f t="shared" si="10"/>
        <v/>
      </c>
      <c r="N96" s="17"/>
      <c r="O96" s="27"/>
      <c r="P96" s="27"/>
      <c r="Q96" s="28" t="str">
        <f t="shared" si="11"/>
        <v/>
      </c>
      <c r="R96" s="17"/>
      <c r="S96" s="31" t="str">
        <f t="shared" si="12"/>
        <v/>
      </c>
      <c r="T96" s="21"/>
      <c r="U96" s="21"/>
      <c r="V96" s="17"/>
      <c r="W96" s="17"/>
      <c r="X96" s="17"/>
      <c r="Y96" s="17"/>
      <c r="Z96" s="17"/>
      <c r="AA96" s="17"/>
      <c r="AB96" s="17"/>
      <c r="AC96" s="17"/>
      <c r="AD96" s="17"/>
      <c r="AE96" s="25" t="str">
        <f t="shared" ca="1" si="13"/>
        <v/>
      </c>
      <c r="AF96" s="1" t="str">
        <f t="shared" si="14"/>
        <v/>
      </c>
      <c r="AG96" s="17"/>
      <c r="AH96" s="17"/>
      <c r="AI96" s="17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8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9" t="str">
        <f t="shared" si="10"/>
        <v/>
      </c>
      <c r="N97" s="17"/>
      <c r="O97" s="27"/>
      <c r="P97" s="27"/>
      <c r="Q97" s="28" t="str">
        <f t="shared" si="11"/>
        <v/>
      </c>
      <c r="R97" s="17"/>
      <c r="S97" s="31" t="str">
        <f t="shared" si="12"/>
        <v/>
      </c>
      <c r="T97" s="21"/>
      <c r="U97" s="21"/>
      <c r="V97" s="17"/>
      <c r="W97" s="17"/>
      <c r="X97" s="17"/>
      <c r="Y97" s="17"/>
      <c r="Z97" s="17"/>
      <c r="AA97" s="17"/>
      <c r="AB97" s="17"/>
      <c r="AC97" s="17"/>
      <c r="AD97" s="17"/>
      <c r="AE97" s="25" t="str">
        <f t="shared" ca="1" si="13"/>
        <v/>
      </c>
      <c r="AF97" s="1" t="str">
        <f t="shared" si="14"/>
        <v/>
      </c>
      <c r="AG97" s="17"/>
      <c r="AH97" s="17"/>
      <c r="AI97" s="17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8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9" t="str">
        <f t="shared" si="10"/>
        <v/>
      </c>
      <c r="N98" s="17"/>
      <c r="O98" s="27"/>
      <c r="P98" s="27"/>
      <c r="Q98" s="28" t="str">
        <f t="shared" si="11"/>
        <v/>
      </c>
      <c r="R98" s="17"/>
      <c r="S98" s="31" t="str">
        <f t="shared" si="12"/>
        <v/>
      </c>
      <c r="T98" s="21"/>
      <c r="U98" s="21"/>
      <c r="V98" s="17"/>
      <c r="W98" s="17"/>
      <c r="X98" s="17"/>
      <c r="Y98" s="17"/>
      <c r="Z98" s="17"/>
      <c r="AA98" s="17"/>
      <c r="AB98" s="17"/>
      <c r="AC98" s="17"/>
      <c r="AD98" s="17"/>
      <c r="AE98" s="25" t="str">
        <f t="shared" ca="1" si="13"/>
        <v/>
      </c>
      <c r="AF98" s="1" t="str">
        <f t="shared" si="14"/>
        <v/>
      </c>
      <c r="AG98" s="17"/>
      <c r="AH98" s="17"/>
      <c r="AI98" s="17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8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9" t="str">
        <f t="shared" si="10"/>
        <v/>
      </c>
      <c r="N99" s="17"/>
      <c r="O99" s="27"/>
      <c r="P99" s="27"/>
      <c r="Q99" s="28" t="str">
        <f t="shared" si="11"/>
        <v/>
      </c>
      <c r="R99" s="17"/>
      <c r="S99" s="31" t="str">
        <f t="shared" si="12"/>
        <v/>
      </c>
      <c r="T99" s="21"/>
      <c r="U99" s="21"/>
      <c r="V99" s="17"/>
      <c r="W99" s="17"/>
      <c r="X99" s="17"/>
      <c r="Y99" s="17"/>
      <c r="Z99" s="17"/>
      <c r="AA99" s="17"/>
      <c r="AB99" s="17"/>
      <c r="AC99" s="17"/>
      <c r="AD99" s="17"/>
      <c r="AE99" s="25" t="str">
        <f t="shared" ca="1" si="13"/>
        <v/>
      </c>
      <c r="AF99" s="1" t="str">
        <f t="shared" si="14"/>
        <v/>
      </c>
      <c r="AG99" s="17"/>
      <c r="AH99" s="17"/>
      <c r="AI99" s="17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8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9" t="str">
        <f t="shared" si="10"/>
        <v/>
      </c>
      <c r="N100" s="17"/>
      <c r="O100" s="27"/>
      <c r="P100" s="27"/>
      <c r="Q100" s="28" t="str">
        <f t="shared" si="11"/>
        <v/>
      </c>
      <c r="R100" s="17"/>
      <c r="S100" s="31" t="str">
        <f t="shared" si="12"/>
        <v/>
      </c>
      <c r="T100" s="21"/>
      <c r="U100" s="21"/>
      <c r="V100" s="17"/>
      <c r="W100" s="17"/>
      <c r="X100" s="17"/>
      <c r="Y100" s="17"/>
      <c r="Z100" s="17"/>
      <c r="AA100" s="17"/>
      <c r="AB100" s="17"/>
      <c r="AC100" s="17"/>
      <c r="AD100" s="17"/>
      <c r="AE100" s="25" t="str">
        <f t="shared" ca="1" si="13"/>
        <v/>
      </c>
      <c r="AF100" s="1" t="str">
        <f t="shared" si="14"/>
        <v/>
      </c>
      <c r="AG100" s="17"/>
      <c r="AH100" s="17"/>
      <c r="AI100" s="17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8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9" t="str">
        <f t="shared" si="10"/>
        <v/>
      </c>
      <c r="N101" s="17"/>
      <c r="O101" s="27"/>
      <c r="P101" s="27"/>
      <c r="Q101" s="28" t="str">
        <f t="shared" si="11"/>
        <v/>
      </c>
      <c r="R101" s="17"/>
      <c r="S101" s="31" t="str">
        <f t="shared" si="12"/>
        <v/>
      </c>
      <c r="T101" s="21"/>
      <c r="U101" s="21"/>
      <c r="V101" s="17"/>
      <c r="W101" s="17"/>
      <c r="X101" s="17"/>
      <c r="Y101" s="17"/>
      <c r="Z101" s="17"/>
      <c r="AA101" s="17"/>
      <c r="AB101" s="17"/>
      <c r="AC101" s="17"/>
      <c r="AD101" s="17"/>
      <c r="AE101" s="25" t="str">
        <f t="shared" ca="1" si="13"/>
        <v/>
      </c>
      <c r="AF101" s="1" t="str">
        <f t="shared" si="14"/>
        <v/>
      </c>
      <c r="AG101" s="17"/>
      <c r="AH101" s="17"/>
      <c r="AI101" s="17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8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9" t="str">
        <f t="shared" si="10"/>
        <v/>
      </c>
      <c r="N102" s="17"/>
      <c r="O102" s="27"/>
      <c r="P102" s="27"/>
      <c r="Q102" s="28" t="str">
        <f t="shared" si="11"/>
        <v/>
      </c>
      <c r="R102" s="17"/>
      <c r="S102" s="31" t="str">
        <f t="shared" si="12"/>
        <v/>
      </c>
      <c r="T102" s="21"/>
      <c r="U102" s="21"/>
      <c r="V102" s="17"/>
      <c r="W102" s="17"/>
      <c r="X102" s="17"/>
      <c r="Y102" s="17"/>
      <c r="Z102" s="17"/>
      <c r="AA102" s="17"/>
      <c r="AB102" s="17"/>
      <c r="AC102" s="17"/>
      <c r="AD102" s="17"/>
      <c r="AE102" s="25" t="str">
        <f t="shared" ca="1" si="13"/>
        <v/>
      </c>
      <c r="AF102" s="1" t="str">
        <f t="shared" si="14"/>
        <v/>
      </c>
      <c r="AG102" s="17"/>
      <c r="AH102" s="17"/>
      <c r="AI102" s="17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8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9" t="str">
        <f t="shared" ref="M103:M134" si="15">IF(OR(K103="",K103=0,L103=""),"",L103/K103)</f>
        <v/>
      </c>
      <c r="N103" s="17"/>
      <c r="O103" s="27"/>
      <c r="P103" s="27"/>
      <c r="Q103" s="28" t="str">
        <f t="shared" ref="Q103:Q134" si="16">IF(OR(O103="",P103=""),"",O103*P103)</f>
        <v/>
      </c>
      <c r="R103" s="17"/>
      <c r="S103" s="31" t="str">
        <f t="shared" ref="S103:S134" si="17">IF(OR(Q103="",R103=""),"",Q103*IF(R103="Monthly",12,IF(R103="Quarterly",4,IF(R103="Half-Yearly",2,IF(R103="Annual",1,IF(R103="One-time",0,1))))))</f>
        <v/>
      </c>
      <c r="T103" s="21"/>
      <c r="U103" s="21"/>
      <c r="V103" s="17"/>
      <c r="W103" s="17"/>
      <c r="X103" s="17"/>
      <c r="Y103" s="17"/>
      <c r="Z103" s="17"/>
      <c r="AA103" s="17"/>
      <c r="AB103" s="17"/>
      <c r="AC103" s="17"/>
      <c r="AD103" s="17"/>
      <c r="AE103" s="25" t="str">
        <f t="shared" ref="AE103:AE134" ca="1" si="18">IF(U103="","",U103-TODAY())</f>
        <v/>
      </c>
      <c r="AF103" s="1" t="str">
        <f t="shared" ref="AF103:AF134" si="19">IF(U103="","",IF(AD103&lt;&gt;"Active","Inactive",IF(AE103&lt;0,"Expired",IF(AE103&lt;=30,"Due within 30 days",IF(AE103&lt;=60,"Due in 31-60 days",IF(AE103&lt;=90,"Due in 61-90 days","Later"))))))</f>
        <v/>
      </c>
      <c r="AG103" s="17"/>
      <c r="AH103" s="17"/>
      <c r="AI103" s="17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8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9" t="str">
        <f t="shared" si="15"/>
        <v/>
      </c>
      <c r="N104" s="17"/>
      <c r="O104" s="27"/>
      <c r="P104" s="27"/>
      <c r="Q104" s="28" t="str">
        <f t="shared" si="16"/>
        <v/>
      </c>
      <c r="R104" s="17"/>
      <c r="S104" s="31" t="str">
        <f t="shared" si="17"/>
        <v/>
      </c>
      <c r="T104" s="21"/>
      <c r="U104" s="21"/>
      <c r="V104" s="17"/>
      <c r="W104" s="17"/>
      <c r="X104" s="17"/>
      <c r="Y104" s="17"/>
      <c r="Z104" s="17"/>
      <c r="AA104" s="17"/>
      <c r="AB104" s="17"/>
      <c r="AC104" s="17"/>
      <c r="AD104" s="17"/>
      <c r="AE104" s="25" t="str">
        <f t="shared" ca="1" si="18"/>
        <v/>
      </c>
      <c r="AF104" s="1" t="str">
        <f t="shared" si="19"/>
        <v/>
      </c>
      <c r="AG104" s="17"/>
      <c r="AH104" s="17"/>
      <c r="AI104" s="17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8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9" t="str">
        <f t="shared" si="15"/>
        <v/>
      </c>
      <c r="N105" s="17"/>
      <c r="O105" s="27"/>
      <c r="P105" s="27"/>
      <c r="Q105" s="28" t="str">
        <f t="shared" si="16"/>
        <v/>
      </c>
      <c r="R105" s="17"/>
      <c r="S105" s="31" t="str">
        <f t="shared" si="17"/>
        <v/>
      </c>
      <c r="T105" s="21"/>
      <c r="U105" s="21"/>
      <c r="V105" s="17"/>
      <c r="W105" s="17"/>
      <c r="X105" s="17"/>
      <c r="Y105" s="17"/>
      <c r="Z105" s="17"/>
      <c r="AA105" s="17"/>
      <c r="AB105" s="17"/>
      <c r="AC105" s="17"/>
      <c r="AD105" s="17"/>
      <c r="AE105" s="25" t="str">
        <f t="shared" ca="1" si="18"/>
        <v/>
      </c>
      <c r="AF105" s="1" t="str">
        <f t="shared" si="19"/>
        <v/>
      </c>
      <c r="AG105" s="17"/>
      <c r="AH105" s="17"/>
      <c r="AI105" s="17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8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9" t="str">
        <f t="shared" si="15"/>
        <v/>
      </c>
      <c r="N106" s="17"/>
      <c r="O106" s="27"/>
      <c r="P106" s="27"/>
      <c r="Q106" s="28" t="str">
        <f t="shared" si="16"/>
        <v/>
      </c>
      <c r="R106" s="17"/>
      <c r="S106" s="31" t="str">
        <f t="shared" si="17"/>
        <v/>
      </c>
      <c r="T106" s="21"/>
      <c r="U106" s="21"/>
      <c r="V106" s="17"/>
      <c r="W106" s="17"/>
      <c r="X106" s="17"/>
      <c r="Y106" s="17"/>
      <c r="Z106" s="17"/>
      <c r="AA106" s="17"/>
      <c r="AB106" s="17"/>
      <c r="AC106" s="17"/>
      <c r="AD106" s="17"/>
      <c r="AE106" s="25" t="str">
        <f t="shared" ca="1" si="18"/>
        <v/>
      </c>
      <c r="AF106" s="1" t="str">
        <f t="shared" si="19"/>
        <v/>
      </c>
      <c r="AG106" s="17"/>
      <c r="AH106" s="17"/>
      <c r="AI106" s="17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8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9" t="str">
        <f t="shared" si="15"/>
        <v/>
      </c>
      <c r="N107" s="17"/>
      <c r="O107" s="27"/>
      <c r="P107" s="27"/>
      <c r="Q107" s="28" t="str">
        <f t="shared" si="16"/>
        <v/>
      </c>
      <c r="R107" s="17"/>
      <c r="S107" s="31" t="str">
        <f t="shared" si="17"/>
        <v/>
      </c>
      <c r="T107" s="21"/>
      <c r="U107" s="21"/>
      <c r="V107" s="17"/>
      <c r="W107" s="17"/>
      <c r="X107" s="17"/>
      <c r="Y107" s="17"/>
      <c r="Z107" s="17"/>
      <c r="AA107" s="17"/>
      <c r="AB107" s="17"/>
      <c r="AC107" s="17"/>
      <c r="AD107" s="17"/>
      <c r="AE107" s="25" t="str">
        <f t="shared" ca="1" si="18"/>
        <v/>
      </c>
      <c r="AF107" s="1" t="str">
        <f t="shared" si="19"/>
        <v/>
      </c>
      <c r="AG107" s="17"/>
      <c r="AH107" s="17"/>
      <c r="AI107" s="17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8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9" t="str">
        <f t="shared" si="15"/>
        <v/>
      </c>
      <c r="N108" s="17"/>
      <c r="O108" s="27"/>
      <c r="P108" s="27"/>
      <c r="Q108" s="28" t="str">
        <f t="shared" si="16"/>
        <v/>
      </c>
      <c r="R108" s="17"/>
      <c r="S108" s="31" t="str">
        <f t="shared" si="17"/>
        <v/>
      </c>
      <c r="T108" s="21"/>
      <c r="U108" s="21"/>
      <c r="V108" s="17"/>
      <c r="W108" s="17"/>
      <c r="X108" s="17"/>
      <c r="Y108" s="17"/>
      <c r="Z108" s="17"/>
      <c r="AA108" s="17"/>
      <c r="AB108" s="17"/>
      <c r="AC108" s="17"/>
      <c r="AD108" s="17"/>
      <c r="AE108" s="25" t="str">
        <f t="shared" ca="1" si="18"/>
        <v/>
      </c>
      <c r="AF108" s="1" t="str">
        <f t="shared" si="19"/>
        <v/>
      </c>
      <c r="AG108" s="17"/>
      <c r="AH108" s="17"/>
      <c r="AI108" s="17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8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9" t="str">
        <f t="shared" si="15"/>
        <v/>
      </c>
      <c r="N109" s="17"/>
      <c r="O109" s="27"/>
      <c r="P109" s="27"/>
      <c r="Q109" s="28" t="str">
        <f t="shared" si="16"/>
        <v/>
      </c>
      <c r="R109" s="17"/>
      <c r="S109" s="31" t="str">
        <f t="shared" si="17"/>
        <v/>
      </c>
      <c r="T109" s="21"/>
      <c r="U109" s="21"/>
      <c r="V109" s="17"/>
      <c r="W109" s="17"/>
      <c r="X109" s="17"/>
      <c r="Y109" s="17"/>
      <c r="Z109" s="17"/>
      <c r="AA109" s="17"/>
      <c r="AB109" s="17"/>
      <c r="AC109" s="17"/>
      <c r="AD109" s="17"/>
      <c r="AE109" s="25" t="str">
        <f t="shared" ca="1" si="18"/>
        <v/>
      </c>
      <c r="AF109" s="1" t="str">
        <f t="shared" si="19"/>
        <v/>
      </c>
      <c r="AG109" s="17"/>
      <c r="AH109" s="17"/>
      <c r="AI109" s="17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8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9" t="str">
        <f t="shared" si="15"/>
        <v/>
      </c>
      <c r="N110" s="17"/>
      <c r="O110" s="27"/>
      <c r="P110" s="27"/>
      <c r="Q110" s="28" t="str">
        <f t="shared" si="16"/>
        <v/>
      </c>
      <c r="R110" s="17"/>
      <c r="S110" s="31" t="str">
        <f t="shared" si="17"/>
        <v/>
      </c>
      <c r="T110" s="21"/>
      <c r="U110" s="21"/>
      <c r="V110" s="17"/>
      <c r="W110" s="17"/>
      <c r="X110" s="17"/>
      <c r="Y110" s="17"/>
      <c r="Z110" s="17"/>
      <c r="AA110" s="17"/>
      <c r="AB110" s="17"/>
      <c r="AC110" s="17"/>
      <c r="AD110" s="17"/>
      <c r="AE110" s="25" t="str">
        <f t="shared" ca="1" si="18"/>
        <v/>
      </c>
      <c r="AF110" s="1" t="str">
        <f t="shared" si="19"/>
        <v/>
      </c>
      <c r="AG110" s="17"/>
      <c r="AH110" s="17"/>
      <c r="AI110" s="17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8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9" t="str">
        <f t="shared" si="15"/>
        <v/>
      </c>
      <c r="N111" s="17"/>
      <c r="O111" s="27"/>
      <c r="P111" s="27"/>
      <c r="Q111" s="28" t="str">
        <f t="shared" si="16"/>
        <v/>
      </c>
      <c r="R111" s="17"/>
      <c r="S111" s="31" t="str">
        <f t="shared" si="17"/>
        <v/>
      </c>
      <c r="T111" s="21"/>
      <c r="U111" s="21"/>
      <c r="V111" s="17"/>
      <c r="W111" s="17"/>
      <c r="X111" s="17"/>
      <c r="Y111" s="17"/>
      <c r="Z111" s="17"/>
      <c r="AA111" s="17"/>
      <c r="AB111" s="17"/>
      <c r="AC111" s="17"/>
      <c r="AD111" s="17"/>
      <c r="AE111" s="25" t="str">
        <f t="shared" ca="1" si="18"/>
        <v/>
      </c>
      <c r="AF111" s="1" t="str">
        <f t="shared" si="19"/>
        <v/>
      </c>
      <c r="AG111" s="17"/>
      <c r="AH111" s="17"/>
      <c r="AI111" s="17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8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9" t="str">
        <f t="shared" si="15"/>
        <v/>
      </c>
      <c r="N112" s="17"/>
      <c r="O112" s="27"/>
      <c r="P112" s="27"/>
      <c r="Q112" s="28" t="str">
        <f t="shared" si="16"/>
        <v/>
      </c>
      <c r="R112" s="17"/>
      <c r="S112" s="31" t="str">
        <f t="shared" si="17"/>
        <v/>
      </c>
      <c r="T112" s="21"/>
      <c r="U112" s="21"/>
      <c r="V112" s="17"/>
      <c r="W112" s="17"/>
      <c r="X112" s="17"/>
      <c r="Y112" s="17"/>
      <c r="Z112" s="17"/>
      <c r="AA112" s="17"/>
      <c r="AB112" s="17"/>
      <c r="AC112" s="17"/>
      <c r="AD112" s="17"/>
      <c r="AE112" s="25" t="str">
        <f t="shared" ca="1" si="18"/>
        <v/>
      </c>
      <c r="AF112" s="1" t="str">
        <f t="shared" si="19"/>
        <v/>
      </c>
      <c r="AG112" s="17"/>
      <c r="AH112" s="17"/>
      <c r="AI112" s="17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8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9" t="str">
        <f t="shared" si="15"/>
        <v/>
      </c>
      <c r="N113" s="17"/>
      <c r="O113" s="27"/>
      <c r="P113" s="27"/>
      <c r="Q113" s="28" t="str">
        <f t="shared" si="16"/>
        <v/>
      </c>
      <c r="R113" s="17"/>
      <c r="S113" s="31" t="str">
        <f t="shared" si="17"/>
        <v/>
      </c>
      <c r="T113" s="21"/>
      <c r="U113" s="21"/>
      <c r="V113" s="17"/>
      <c r="W113" s="17"/>
      <c r="X113" s="17"/>
      <c r="Y113" s="17"/>
      <c r="Z113" s="17"/>
      <c r="AA113" s="17"/>
      <c r="AB113" s="17"/>
      <c r="AC113" s="17"/>
      <c r="AD113" s="17"/>
      <c r="AE113" s="25" t="str">
        <f t="shared" ca="1" si="18"/>
        <v/>
      </c>
      <c r="AF113" s="1" t="str">
        <f t="shared" si="19"/>
        <v/>
      </c>
      <c r="AG113" s="17"/>
      <c r="AH113" s="17"/>
      <c r="AI113" s="17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8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9" t="str">
        <f t="shared" si="15"/>
        <v/>
      </c>
      <c r="N114" s="17"/>
      <c r="O114" s="27"/>
      <c r="P114" s="27"/>
      <c r="Q114" s="28" t="str">
        <f t="shared" si="16"/>
        <v/>
      </c>
      <c r="R114" s="17"/>
      <c r="S114" s="31" t="str">
        <f t="shared" si="17"/>
        <v/>
      </c>
      <c r="T114" s="21"/>
      <c r="U114" s="21"/>
      <c r="V114" s="17"/>
      <c r="W114" s="17"/>
      <c r="X114" s="17"/>
      <c r="Y114" s="17"/>
      <c r="Z114" s="17"/>
      <c r="AA114" s="17"/>
      <c r="AB114" s="17"/>
      <c r="AC114" s="17"/>
      <c r="AD114" s="17"/>
      <c r="AE114" s="25" t="str">
        <f t="shared" ca="1" si="18"/>
        <v/>
      </c>
      <c r="AF114" s="1" t="str">
        <f t="shared" si="19"/>
        <v/>
      </c>
      <c r="AG114" s="17"/>
      <c r="AH114" s="17"/>
      <c r="AI114" s="17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8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9" t="str">
        <f t="shared" si="15"/>
        <v/>
      </c>
      <c r="N115" s="17"/>
      <c r="O115" s="27"/>
      <c r="P115" s="27"/>
      <c r="Q115" s="28" t="str">
        <f t="shared" si="16"/>
        <v/>
      </c>
      <c r="R115" s="17"/>
      <c r="S115" s="31" t="str">
        <f t="shared" si="17"/>
        <v/>
      </c>
      <c r="T115" s="21"/>
      <c r="U115" s="21"/>
      <c r="V115" s="17"/>
      <c r="W115" s="17"/>
      <c r="X115" s="17"/>
      <c r="Y115" s="17"/>
      <c r="Z115" s="17"/>
      <c r="AA115" s="17"/>
      <c r="AB115" s="17"/>
      <c r="AC115" s="17"/>
      <c r="AD115" s="17"/>
      <c r="AE115" s="25" t="str">
        <f t="shared" ca="1" si="18"/>
        <v/>
      </c>
      <c r="AF115" s="1" t="str">
        <f t="shared" si="19"/>
        <v/>
      </c>
      <c r="AG115" s="17"/>
      <c r="AH115" s="17"/>
      <c r="AI115" s="17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8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9" t="str">
        <f t="shared" si="15"/>
        <v/>
      </c>
      <c r="N116" s="17"/>
      <c r="O116" s="27"/>
      <c r="P116" s="27"/>
      <c r="Q116" s="28" t="str">
        <f t="shared" si="16"/>
        <v/>
      </c>
      <c r="R116" s="17"/>
      <c r="S116" s="31" t="str">
        <f t="shared" si="17"/>
        <v/>
      </c>
      <c r="T116" s="21"/>
      <c r="U116" s="21"/>
      <c r="V116" s="17"/>
      <c r="W116" s="17"/>
      <c r="X116" s="17"/>
      <c r="Y116" s="17"/>
      <c r="Z116" s="17"/>
      <c r="AA116" s="17"/>
      <c r="AB116" s="17"/>
      <c r="AC116" s="17"/>
      <c r="AD116" s="17"/>
      <c r="AE116" s="25" t="str">
        <f t="shared" ca="1" si="18"/>
        <v/>
      </c>
      <c r="AF116" s="1" t="str">
        <f t="shared" si="19"/>
        <v/>
      </c>
      <c r="AG116" s="17"/>
      <c r="AH116" s="17"/>
      <c r="AI116" s="17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8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9" t="str">
        <f t="shared" si="15"/>
        <v/>
      </c>
      <c r="N117" s="17"/>
      <c r="O117" s="27"/>
      <c r="P117" s="27"/>
      <c r="Q117" s="28" t="str">
        <f t="shared" si="16"/>
        <v/>
      </c>
      <c r="R117" s="17"/>
      <c r="S117" s="31" t="str">
        <f t="shared" si="17"/>
        <v/>
      </c>
      <c r="T117" s="21"/>
      <c r="U117" s="21"/>
      <c r="V117" s="17"/>
      <c r="W117" s="17"/>
      <c r="X117" s="17"/>
      <c r="Y117" s="17"/>
      <c r="Z117" s="17"/>
      <c r="AA117" s="17"/>
      <c r="AB117" s="17"/>
      <c r="AC117" s="17"/>
      <c r="AD117" s="17"/>
      <c r="AE117" s="25" t="str">
        <f t="shared" ca="1" si="18"/>
        <v/>
      </c>
      <c r="AF117" s="1" t="str">
        <f t="shared" si="19"/>
        <v/>
      </c>
      <c r="AG117" s="17"/>
      <c r="AH117" s="17"/>
      <c r="AI117" s="17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8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9" t="str">
        <f t="shared" si="15"/>
        <v/>
      </c>
      <c r="N118" s="17"/>
      <c r="O118" s="27"/>
      <c r="P118" s="27"/>
      <c r="Q118" s="28" t="str">
        <f t="shared" si="16"/>
        <v/>
      </c>
      <c r="R118" s="17"/>
      <c r="S118" s="31" t="str">
        <f t="shared" si="17"/>
        <v/>
      </c>
      <c r="T118" s="21"/>
      <c r="U118" s="21"/>
      <c r="V118" s="17"/>
      <c r="W118" s="17"/>
      <c r="X118" s="17"/>
      <c r="Y118" s="17"/>
      <c r="Z118" s="17"/>
      <c r="AA118" s="17"/>
      <c r="AB118" s="17"/>
      <c r="AC118" s="17"/>
      <c r="AD118" s="17"/>
      <c r="AE118" s="25" t="str">
        <f t="shared" ca="1" si="18"/>
        <v/>
      </c>
      <c r="AF118" s="1" t="str">
        <f t="shared" si="19"/>
        <v/>
      </c>
      <c r="AG118" s="17"/>
      <c r="AH118" s="17"/>
      <c r="AI118" s="17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8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9" t="str">
        <f t="shared" si="15"/>
        <v/>
      </c>
      <c r="N119" s="17"/>
      <c r="O119" s="27"/>
      <c r="P119" s="27"/>
      <c r="Q119" s="28" t="str">
        <f t="shared" si="16"/>
        <v/>
      </c>
      <c r="R119" s="17"/>
      <c r="S119" s="31" t="str">
        <f t="shared" si="17"/>
        <v/>
      </c>
      <c r="T119" s="21"/>
      <c r="U119" s="21"/>
      <c r="V119" s="17"/>
      <c r="W119" s="17"/>
      <c r="X119" s="17"/>
      <c r="Y119" s="17"/>
      <c r="Z119" s="17"/>
      <c r="AA119" s="17"/>
      <c r="AB119" s="17"/>
      <c r="AC119" s="17"/>
      <c r="AD119" s="17"/>
      <c r="AE119" s="25" t="str">
        <f t="shared" ca="1" si="18"/>
        <v/>
      </c>
      <c r="AF119" s="1" t="str">
        <f t="shared" si="19"/>
        <v/>
      </c>
      <c r="AG119" s="17"/>
      <c r="AH119" s="17"/>
      <c r="AI119" s="17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8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9" t="str">
        <f t="shared" si="15"/>
        <v/>
      </c>
      <c r="N120" s="17"/>
      <c r="O120" s="27"/>
      <c r="P120" s="27"/>
      <c r="Q120" s="28" t="str">
        <f t="shared" si="16"/>
        <v/>
      </c>
      <c r="R120" s="17"/>
      <c r="S120" s="31" t="str">
        <f t="shared" si="17"/>
        <v/>
      </c>
      <c r="T120" s="21"/>
      <c r="U120" s="21"/>
      <c r="V120" s="17"/>
      <c r="W120" s="17"/>
      <c r="X120" s="17"/>
      <c r="Y120" s="17"/>
      <c r="Z120" s="17"/>
      <c r="AA120" s="17"/>
      <c r="AB120" s="17"/>
      <c r="AC120" s="17"/>
      <c r="AD120" s="17"/>
      <c r="AE120" s="25" t="str">
        <f t="shared" ca="1" si="18"/>
        <v/>
      </c>
      <c r="AF120" s="1" t="str">
        <f t="shared" si="19"/>
        <v/>
      </c>
      <c r="AG120" s="17"/>
      <c r="AH120" s="17"/>
      <c r="AI120" s="17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8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9" t="str">
        <f t="shared" si="15"/>
        <v/>
      </c>
      <c r="N121" s="17"/>
      <c r="O121" s="27"/>
      <c r="P121" s="27"/>
      <c r="Q121" s="28" t="str">
        <f t="shared" si="16"/>
        <v/>
      </c>
      <c r="R121" s="17"/>
      <c r="S121" s="31" t="str">
        <f t="shared" si="17"/>
        <v/>
      </c>
      <c r="T121" s="21"/>
      <c r="U121" s="21"/>
      <c r="V121" s="17"/>
      <c r="W121" s="17"/>
      <c r="X121" s="17"/>
      <c r="Y121" s="17"/>
      <c r="Z121" s="17"/>
      <c r="AA121" s="17"/>
      <c r="AB121" s="17"/>
      <c r="AC121" s="17"/>
      <c r="AD121" s="17"/>
      <c r="AE121" s="25" t="str">
        <f t="shared" ca="1" si="18"/>
        <v/>
      </c>
      <c r="AF121" s="1" t="str">
        <f t="shared" si="19"/>
        <v/>
      </c>
      <c r="AG121" s="17"/>
      <c r="AH121" s="17"/>
      <c r="AI121" s="17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8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9" t="str">
        <f t="shared" si="15"/>
        <v/>
      </c>
      <c r="N122" s="17"/>
      <c r="O122" s="27"/>
      <c r="P122" s="27"/>
      <c r="Q122" s="28" t="str">
        <f t="shared" si="16"/>
        <v/>
      </c>
      <c r="R122" s="17"/>
      <c r="S122" s="31" t="str">
        <f t="shared" si="17"/>
        <v/>
      </c>
      <c r="T122" s="21"/>
      <c r="U122" s="21"/>
      <c r="V122" s="17"/>
      <c r="W122" s="17"/>
      <c r="X122" s="17"/>
      <c r="Y122" s="17"/>
      <c r="Z122" s="17"/>
      <c r="AA122" s="17"/>
      <c r="AB122" s="17"/>
      <c r="AC122" s="17"/>
      <c r="AD122" s="17"/>
      <c r="AE122" s="25" t="str">
        <f t="shared" ca="1" si="18"/>
        <v/>
      </c>
      <c r="AF122" s="1" t="str">
        <f t="shared" si="19"/>
        <v/>
      </c>
      <c r="AG122" s="17"/>
      <c r="AH122" s="17"/>
      <c r="AI122" s="17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8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9" t="str">
        <f t="shared" si="15"/>
        <v/>
      </c>
      <c r="N123" s="17"/>
      <c r="O123" s="27"/>
      <c r="P123" s="27"/>
      <c r="Q123" s="28" t="str">
        <f t="shared" si="16"/>
        <v/>
      </c>
      <c r="R123" s="17"/>
      <c r="S123" s="31" t="str">
        <f t="shared" si="17"/>
        <v/>
      </c>
      <c r="T123" s="21"/>
      <c r="U123" s="21"/>
      <c r="V123" s="17"/>
      <c r="W123" s="17"/>
      <c r="X123" s="17"/>
      <c r="Y123" s="17"/>
      <c r="Z123" s="17"/>
      <c r="AA123" s="17"/>
      <c r="AB123" s="17"/>
      <c r="AC123" s="17"/>
      <c r="AD123" s="17"/>
      <c r="AE123" s="25" t="str">
        <f t="shared" ca="1" si="18"/>
        <v/>
      </c>
      <c r="AF123" s="1" t="str">
        <f t="shared" si="19"/>
        <v/>
      </c>
      <c r="AG123" s="17"/>
      <c r="AH123" s="17"/>
      <c r="AI123" s="17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8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9" t="str">
        <f t="shared" si="15"/>
        <v/>
      </c>
      <c r="N124" s="17"/>
      <c r="O124" s="27"/>
      <c r="P124" s="27"/>
      <c r="Q124" s="28" t="str">
        <f t="shared" si="16"/>
        <v/>
      </c>
      <c r="R124" s="17"/>
      <c r="S124" s="31" t="str">
        <f t="shared" si="17"/>
        <v/>
      </c>
      <c r="T124" s="21"/>
      <c r="U124" s="21"/>
      <c r="V124" s="17"/>
      <c r="W124" s="17"/>
      <c r="X124" s="17"/>
      <c r="Y124" s="17"/>
      <c r="Z124" s="17"/>
      <c r="AA124" s="17"/>
      <c r="AB124" s="17"/>
      <c r="AC124" s="17"/>
      <c r="AD124" s="17"/>
      <c r="AE124" s="25" t="str">
        <f t="shared" ca="1" si="18"/>
        <v/>
      </c>
      <c r="AF124" s="1" t="str">
        <f t="shared" si="19"/>
        <v/>
      </c>
      <c r="AG124" s="17"/>
      <c r="AH124" s="17"/>
      <c r="AI124" s="17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8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9" t="str">
        <f t="shared" si="15"/>
        <v/>
      </c>
      <c r="N125" s="17"/>
      <c r="O125" s="27"/>
      <c r="P125" s="27"/>
      <c r="Q125" s="28" t="str">
        <f t="shared" si="16"/>
        <v/>
      </c>
      <c r="R125" s="17"/>
      <c r="S125" s="31" t="str">
        <f t="shared" si="17"/>
        <v/>
      </c>
      <c r="T125" s="21"/>
      <c r="U125" s="21"/>
      <c r="V125" s="17"/>
      <c r="W125" s="17"/>
      <c r="X125" s="17"/>
      <c r="Y125" s="17"/>
      <c r="Z125" s="17"/>
      <c r="AA125" s="17"/>
      <c r="AB125" s="17"/>
      <c r="AC125" s="17"/>
      <c r="AD125" s="17"/>
      <c r="AE125" s="25" t="str">
        <f t="shared" ca="1" si="18"/>
        <v/>
      </c>
      <c r="AF125" s="1" t="str">
        <f t="shared" si="19"/>
        <v/>
      </c>
      <c r="AG125" s="17"/>
      <c r="AH125" s="17"/>
      <c r="AI125" s="17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8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9" t="str">
        <f t="shared" si="15"/>
        <v/>
      </c>
      <c r="N126" s="17"/>
      <c r="O126" s="27"/>
      <c r="P126" s="27"/>
      <c r="Q126" s="28" t="str">
        <f t="shared" si="16"/>
        <v/>
      </c>
      <c r="R126" s="17"/>
      <c r="S126" s="31" t="str">
        <f t="shared" si="17"/>
        <v/>
      </c>
      <c r="T126" s="21"/>
      <c r="U126" s="21"/>
      <c r="V126" s="17"/>
      <c r="W126" s="17"/>
      <c r="X126" s="17"/>
      <c r="Y126" s="17"/>
      <c r="Z126" s="17"/>
      <c r="AA126" s="17"/>
      <c r="AB126" s="17"/>
      <c r="AC126" s="17"/>
      <c r="AD126" s="17"/>
      <c r="AE126" s="25" t="str">
        <f t="shared" ca="1" si="18"/>
        <v/>
      </c>
      <c r="AF126" s="1" t="str">
        <f t="shared" si="19"/>
        <v/>
      </c>
      <c r="AG126" s="17"/>
      <c r="AH126" s="17"/>
      <c r="AI126" s="17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8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9" t="str">
        <f t="shared" si="15"/>
        <v/>
      </c>
      <c r="N127" s="17"/>
      <c r="O127" s="27"/>
      <c r="P127" s="27"/>
      <c r="Q127" s="28" t="str">
        <f t="shared" si="16"/>
        <v/>
      </c>
      <c r="R127" s="17"/>
      <c r="S127" s="31" t="str">
        <f t="shared" si="17"/>
        <v/>
      </c>
      <c r="T127" s="21"/>
      <c r="U127" s="21"/>
      <c r="V127" s="17"/>
      <c r="W127" s="17"/>
      <c r="X127" s="17"/>
      <c r="Y127" s="17"/>
      <c r="Z127" s="17"/>
      <c r="AA127" s="17"/>
      <c r="AB127" s="17"/>
      <c r="AC127" s="17"/>
      <c r="AD127" s="17"/>
      <c r="AE127" s="25" t="str">
        <f t="shared" ca="1" si="18"/>
        <v/>
      </c>
      <c r="AF127" s="1" t="str">
        <f t="shared" si="19"/>
        <v/>
      </c>
      <c r="AG127" s="17"/>
      <c r="AH127" s="17"/>
      <c r="AI127" s="17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8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9" t="str">
        <f t="shared" si="15"/>
        <v/>
      </c>
      <c r="N128" s="17"/>
      <c r="O128" s="27"/>
      <c r="P128" s="27"/>
      <c r="Q128" s="28" t="str">
        <f t="shared" si="16"/>
        <v/>
      </c>
      <c r="R128" s="17"/>
      <c r="S128" s="31" t="str">
        <f t="shared" si="17"/>
        <v/>
      </c>
      <c r="T128" s="21"/>
      <c r="U128" s="21"/>
      <c r="V128" s="17"/>
      <c r="W128" s="17"/>
      <c r="X128" s="17"/>
      <c r="Y128" s="17"/>
      <c r="Z128" s="17"/>
      <c r="AA128" s="17"/>
      <c r="AB128" s="17"/>
      <c r="AC128" s="17"/>
      <c r="AD128" s="17"/>
      <c r="AE128" s="25" t="str">
        <f t="shared" ca="1" si="18"/>
        <v/>
      </c>
      <c r="AF128" s="1" t="str">
        <f t="shared" si="19"/>
        <v/>
      </c>
      <c r="AG128" s="17"/>
      <c r="AH128" s="17"/>
      <c r="AI128" s="17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8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9" t="str">
        <f t="shared" si="15"/>
        <v/>
      </c>
      <c r="N129" s="17"/>
      <c r="O129" s="27"/>
      <c r="P129" s="27"/>
      <c r="Q129" s="28" t="str">
        <f t="shared" si="16"/>
        <v/>
      </c>
      <c r="R129" s="17"/>
      <c r="S129" s="31" t="str">
        <f t="shared" si="17"/>
        <v/>
      </c>
      <c r="T129" s="21"/>
      <c r="U129" s="21"/>
      <c r="V129" s="17"/>
      <c r="W129" s="17"/>
      <c r="X129" s="17"/>
      <c r="Y129" s="17"/>
      <c r="Z129" s="17"/>
      <c r="AA129" s="17"/>
      <c r="AB129" s="17"/>
      <c r="AC129" s="17"/>
      <c r="AD129" s="17"/>
      <c r="AE129" s="25" t="str">
        <f t="shared" ca="1" si="18"/>
        <v/>
      </c>
      <c r="AF129" s="1" t="str">
        <f t="shared" si="19"/>
        <v/>
      </c>
      <c r="AG129" s="17"/>
      <c r="AH129" s="17"/>
      <c r="AI129" s="17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8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9" t="str">
        <f t="shared" si="15"/>
        <v/>
      </c>
      <c r="N130" s="17"/>
      <c r="O130" s="27"/>
      <c r="P130" s="27"/>
      <c r="Q130" s="28" t="str">
        <f t="shared" si="16"/>
        <v/>
      </c>
      <c r="R130" s="17"/>
      <c r="S130" s="31" t="str">
        <f t="shared" si="17"/>
        <v/>
      </c>
      <c r="T130" s="21"/>
      <c r="U130" s="21"/>
      <c r="V130" s="17"/>
      <c r="W130" s="17"/>
      <c r="X130" s="17"/>
      <c r="Y130" s="17"/>
      <c r="Z130" s="17"/>
      <c r="AA130" s="17"/>
      <c r="AB130" s="17"/>
      <c r="AC130" s="17"/>
      <c r="AD130" s="17"/>
      <c r="AE130" s="25" t="str">
        <f t="shared" ca="1" si="18"/>
        <v/>
      </c>
      <c r="AF130" s="1" t="str">
        <f t="shared" si="19"/>
        <v/>
      </c>
      <c r="AG130" s="17"/>
      <c r="AH130" s="17"/>
      <c r="AI130" s="17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8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9" t="str">
        <f t="shared" si="15"/>
        <v/>
      </c>
      <c r="N131" s="17"/>
      <c r="O131" s="27"/>
      <c r="P131" s="27"/>
      <c r="Q131" s="28" t="str">
        <f t="shared" si="16"/>
        <v/>
      </c>
      <c r="R131" s="17"/>
      <c r="S131" s="31" t="str">
        <f t="shared" si="17"/>
        <v/>
      </c>
      <c r="T131" s="21"/>
      <c r="U131" s="21"/>
      <c r="V131" s="17"/>
      <c r="W131" s="17"/>
      <c r="X131" s="17"/>
      <c r="Y131" s="17"/>
      <c r="Z131" s="17"/>
      <c r="AA131" s="17"/>
      <c r="AB131" s="17"/>
      <c r="AC131" s="17"/>
      <c r="AD131" s="17"/>
      <c r="AE131" s="25" t="str">
        <f t="shared" ca="1" si="18"/>
        <v/>
      </c>
      <c r="AF131" s="1" t="str">
        <f t="shared" si="19"/>
        <v/>
      </c>
      <c r="AG131" s="17"/>
      <c r="AH131" s="17"/>
      <c r="AI131" s="17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8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9" t="str">
        <f t="shared" si="15"/>
        <v/>
      </c>
      <c r="N132" s="17"/>
      <c r="O132" s="27"/>
      <c r="P132" s="27"/>
      <c r="Q132" s="28" t="str">
        <f t="shared" si="16"/>
        <v/>
      </c>
      <c r="R132" s="17"/>
      <c r="S132" s="31" t="str">
        <f t="shared" si="17"/>
        <v/>
      </c>
      <c r="T132" s="21"/>
      <c r="U132" s="21"/>
      <c r="V132" s="17"/>
      <c r="W132" s="17"/>
      <c r="X132" s="17"/>
      <c r="Y132" s="17"/>
      <c r="Z132" s="17"/>
      <c r="AA132" s="17"/>
      <c r="AB132" s="17"/>
      <c r="AC132" s="17"/>
      <c r="AD132" s="17"/>
      <c r="AE132" s="25" t="str">
        <f t="shared" ca="1" si="18"/>
        <v/>
      </c>
      <c r="AF132" s="1" t="str">
        <f t="shared" si="19"/>
        <v/>
      </c>
      <c r="AG132" s="17"/>
      <c r="AH132" s="17"/>
      <c r="AI132" s="17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8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9" t="str">
        <f t="shared" si="15"/>
        <v/>
      </c>
      <c r="N133" s="17"/>
      <c r="O133" s="27"/>
      <c r="P133" s="27"/>
      <c r="Q133" s="28" t="str">
        <f t="shared" si="16"/>
        <v/>
      </c>
      <c r="R133" s="17"/>
      <c r="S133" s="31" t="str">
        <f t="shared" si="17"/>
        <v/>
      </c>
      <c r="T133" s="21"/>
      <c r="U133" s="21"/>
      <c r="V133" s="17"/>
      <c r="W133" s="17"/>
      <c r="X133" s="17"/>
      <c r="Y133" s="17"/>
      <c r="Z133" s="17"/>
      <c r="AA133" s="17"/>
      <c r="AB133" s="17"/>
      <c r="AC133" s="17"/>
      <c r="AD133" s="17"/>
      <c r="AE133" s="25" t="str">
        <f t="shared" ca="1" si="18"/>
        <v/>
      </c>
      <c r="AF133" s="1" t="str">
        <f t="shared" si="19"/>
        <v/>
      </c>
      <c r="AG133" s="17"/>
      <c r="AH133" s="17"/>
      <c r="AI133" s="17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8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9" t="str">
        <f t="shared" si="15"/>
        <v/>
      </c>
      <c r="N134" s="17"/>
      <c r="O134" s="27"/>
      <c r="P134" s="27"/>
      <c r="Q134" s="28" t="str">
        <f t="shared" si="16"/>
        <v/>
      </c>
      <c r="R134" s="17"/>
      <c r="S134" s="31" t="str">
        <f t="shared" si="17"/>
        <v/>
      </c>
      <c r="T134" s="21"/>
      <c r="U134" s="21"/>
      <c r="V134" s="17"/>
      <c r="W134" s="17"/>
      <c r="X134" s="17"/>
      <c r="Y134" s="17"/>
      <c r="Z134" s="17"/>
      <c r="AA134" s="17"/>
      <c r="AB134" s="17"/>
      <c r="AC134" s="17"/>
      <c r="AD134" s="17"/>
      <c r="AE134" s="25" t="str">
        <f t="shared" ca="1" si="18"/>
        <v/>
      </c>
      <c r="AF134" s="1" t="str">
        <f t="shared" si="19"/>
        <v/>
      </c>
      <c r="AG134" s="17"/>
      <c r="AH134" s="17"/>
      <c r="AI134" s="17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8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9" t="str">
        <f t="shared" ref="M135:M166" si="20">IF(OR(K135="",K135=0,L135=""),"",L135/K135)</f>
        <v/>
      </c>
      <c r="N135" s="17"/>
      <c r="O135" s="27"/>
      <c r="P135" s="27"/>
      <c r="Q135" s="28" t="str">
        <f t="shared" ref="Q135:Q166" si="21">IF(OR(O135="",P135=""),"",O135*P135)</f>
        <v/>
      </c>
      <c r="R135" s="17"/>
      <c r="S135" s="31" t="str">
        <f t="shared" ref="S135:S166" si="22">IF(OR(Q135="",R135=""),"",Q135*IF(R135="Monthly",12,IF(R135="Quarterly",4,IF(R135="Half-Yearly",2,IF(R135="Annual",1,IF(R135="One-time",0,1))))))</f>
        <v/>
      </c>
      <c r="T135" s="21"/>
      <c r="U135" s="21"/>
      <c r="V135" s="17"/>
      <c r="W135" s="17"/>
      <c r="X135" s="17"/>
      <c r="Y135" s="17"/>
      <c r="Z135" s="17"/>
      <c r="AA135" s="17"/>
      <c r="AB135" s="17"/>
      <c r="AC135" s="17"/>
      <c r="AD135" s="17"/>
      <c r="AE135" s="25" t="str">
        <f t="shared" ref="AE135:AE166" ca="1" si="23">IF(U135="","",U135-TODAY())</f>
        <v/>
      </c>
      <c r="AF135" s="1" t="str">
        <f t="shared" ref="AF135:AF166" si="24">IF(U135="","",IF(AD135&lt;&gt;"Active","Inactive",IF(AE135&lt;0,"Expired",IF(AE135&lt;=30,"Due within 30 days",IF(AE135&lt;=60,"Due in 31-60 days",IF(AE135&lt;=90,"Due in 61-90 days","Later"))))))</f>
        <v/>
      </c>
      <c r="AG135" s="17"/>
      <c r="AH135" s="17"/>
      <c r="AI135" s="17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8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9" t="str">
        <f t="shared" si="20"/>
        <v/>
      </c>
      <c r="N136" s="17"/>
      <c r="O136" s="27"/>
      <c r="P136" s="27"/>
      <c r="Q136" s="28" t="str">
        <f t="shared" si="21"/>
        <v/>
      </c>
      <c r="R136" s="17"/>
      <c r="S136" s="31" t="str">
        <f t="shared" si="22"/>
        <v/>
      </c>
      <c r="T136" s="21"/>
      <c r="U136" s="21"/>
      <c r="V136" s="17"/>
      <c r="W136" s="17"/>
      <c r="X136" s="17"/>
      <c r="Y136" s="17"/>
      <c r="Z136" s="17"/>
      <c r="AA136" s="17"/>
      <c r="AB136" s="17"/>
      <c r="AC136" s="17"/>
      <c r="AD136" s="17"/>
      <c r="AE136" s="25" t="str">
        <f t="shared" ca="1" si="23"/>
        <v/>
      </c>
      <c r="AF136" s="1" t="str">
        <f t="shared" si="24"/>
        <v/>
      </c>
      <c r="AG136" s="17"/>
      <c r="AH136" s="17"/>
      <c r="AI136" s="17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8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9" t="str">
        <f t="shared" si="20"/>
        <v/>
      </c>
      <c r="N137" s="17"/>
      <c r="O137" s="27"/>
      <c r="P137" s="27"/>
      <c r="Q137" s="28" t="str">
        <f t="shared" si="21"/>
        <v/>
      </c>
      <c r="R137" s="17"/>
      <c r="S137" s="31" t="str">
        <f t="shared" si="22"/>
        <v/>
      </c>
      <c r="T137" s="21"/>
      <c r="U137" s="21"/>
      <c r="V137" s="17"/>
      <c r="W137" s="17"/>
      <c r="X137" s="17"/>
      <c r="Y137" s="17"/>
      <c r="Z137" s="17"/>
      <c r="AA137" s="17"/>
      <c r="AB137" s="17"/>
      <c r="AC137" s="17"/>
      <c r="AD137" s="17"/>
      <c r="AE137" s="25" t="str">
        <f t="shared" ca="1" si="23"/>
        <v/>
      </c>
      <c r="AF137" s="1" t="str">
        <f t="shared" si="24"/>
        <v/>
      </c>
      <c r="AG137" s="17"/>
      <c r="AH137" s="17"/>
      <c r="AI137" s="17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8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9" t="str">
        <f t="shared" si="20"/>
        <v/>
      </c>
      <c r="N138" s="17"/>
      <c r="O138" s="27"/>
      <c r="P138" s="27"/>
      <c r="Q138" s="28" t="str">
        <f t="shared" si="21"/>
        <v/>
      </c>
      <c r="R138" s="17"/>
      <c r="S138" s="31" t="str">
        <f t="shared" si="22"/>
        <v/>
      </c>
      <c r="T138" s="21"/>
      <c r="U138" s="21"/>
      <c r="V138" s="17"/>
      <c r="W138" s="17"/>
      <c r="X138" s="17"/>
      <c r="Y138" s="17"/>
      <c r="Z138" s="17"/>
      <c r="AA138" s="17"/>
      <c r="AB138" s="17"/>
      <c r="AC138" s="17"/>
      <c r="AD138" s="17"/>
      <c r="AE138" s="25" t="str">
        <f t="shared" ca="1" si="23"/>
        <v/>
      </c>
      <c r="AF138" s="1" t="str">
        <f t="shared" si="24"/>
        <v/>
      </c>
      <c r="AG138" s="17"/>
      <c r="AH138" s="17"/>
      <c r="AI138" s="17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8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9" t="str">
        <f t="shared" si="20"/>
        <v/>
      </c>
      <c r="N139" s="17"/>
      <c r="O139" s="27"/>
      <c r="P139" s="27"/>
      <c r="Q139" s="28" t="str">
        <f t="shared" si="21"/>
        <v/>
      </c>
      <c r="R139" s="17"/>
      <c r="S139" s="31" t="str">
        <f t="shared" si="22"/>
        <v/>
      </c>
      <c r="T139" s="21"/>
      <c r="U139" s="21"/>
      <c r="V139" s="17"/>
      <c r="W139" s="17"/>
      <c r="X139" s="17"/>
      <c r="Y139" s="17"/>
      <c r="Z139" s="17"/>
      <c r="AA139" s="17"/>
      <c r="AB139" s="17"/>
      <c r="AC139" s="17"/>
      <c r="AD139" s="17"/>
      <c r="AE139" s="25" t="str">
        <f t="shared" ca="1" si="23"/>
        <v/>
      </c>
      <c r="AF139" s="1" t="str">
        <f t="shared" si="24"/>
        <v/>
      </c>
      <c r="AG139" s="17"/>
      <c r="AH139" s="17"/>
      <c r="AI139" s="17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8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9" t="str">
        <f t="shared" si="20"/>
        <v/>
      </c>
      <c r="N140" s="17"/>
      <c r="O140" s="27"/>
      <c r="P140" s="27"/>
      <c r="Q140" s="28" t="str">
        <f t="shared" si="21"/>
        <v/>
      </c>
      <c r="R140" s="17"/>
      <c r="S140" s="31" t="str">
        <f t="shared" si="22"/>
        <v/>
      </c>
      <c r="T140" s="21"/>
      <c r="U140" s="21"/>
      <c r="V140" s="17"/>
      <c r="W140" s="17"/>
      <c r="X140" s="17"/>
      <c r="Y140" s="17"/>
      <c r="Z140" s="17"/>
      <c r="AA140" s="17"/>
      <c r="AB140" s="17"/>
      <c r="AC140" s="17"/>
      <c r="AD140" s="17"/>
      <c r="AE140" s="25" t="str">
        <f t="shared" ca="1" si="23"/>
        <v/>
      </c>
      <c r="AF140" s="1" t="str">
        <f t="shared" si="24"/>
        <v/>
      </c>
      <c r="AG140" s="17"/>
      <c r="AH140" s="17"/>
      <c r="AI140" s="17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8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9" t="str">
        <f t="shared" si="20"/>
        <v/>
      </c>
      <c r="N141" s="17"/>
      <c r="O141" s="27"/>
      <c r="P141" s="27"/>
      <c r="Q141" s="28" t="str">
        <f t="shared" si="21"/>
        <v/>
      </c>
      <c r="R141" s="17"/>
      <c r="S141" s="31" t="str">
        <f t="shared" si="22"/>
        <v/>
      </c>
      <c r="T141" s="21"/>
      <c r="U141" s="21"/>
      <c r="V141" s="17"/>
      <c r="W141" s="17"/>
      <c r="X141" s="17"/>
      <c r="Y141" s="17"/>
      <c r="Z141" s="17"/>
      <c r="AA141" s="17"/>
      <c r="AB141" s="17"/>
      <c r="AC141" s="17"/>
      <c r="AD141" s="17"/>
      <c r="AE141" s="25" t="str">
        <f t="shared" ca="1" si="23"/>
        <v/>
      </c>
      <c r="AF141" s="1" t="str">
        <f t="shared" si="24"/>
        <v/>
      </c>
      <c r="AG141" s="17"/>
      <c r="AH141" s="17"/>
      <c r="AI141" s="17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8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9" t="str">
        <f t="shared" si="20"/>
        <v/>
      </c>
      <c r="N142" s="17"/>
      <c r="O142" s="27"/>
      <c r="P142" s="27"/>
      <c r="Q142" s="28" t="str">
        <f t="shared" si="21"/>
        <v/>
      </c>
      <c r="R142" s="17"/>
      <c r="S142" s="31" t="str">
        <f t="shared" si="22"/>
        <v/>
      </c>
      <c r="T142" s="21"/>
      <c r="U142" s="21"/>
      <c r="V142" s="17"/>
      <c r="W142" s="17"/>
      <c r="X142" s="17"/>
      <c r="Y142" s="17"/>
      <c r="Z142" s="17"/>
      <c r="AA142" s="17"/>
      <c r="AB142" s="17"/>
      <c r="AC142" s="17"/>
      <c r="AD142" s="17"/>
      <c r="AE142" s="25" t="str">
        <f t="shared" ca="1" si="23"/>
        <v/>
      </c>
      <c r="AF142" s="1" t="str">
        <f t="shared" si="24"/>
        <v/>
      </c>
      <c r="AG142" s="17"/>
      <c r="AH142" s="17"/>
      <c r="AI142" s="17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8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9" t="str">
        <f t="shared" si="20"/>
        <v/>
      </c>
      <c r="N143" s="17"/>
      <c r="O143" s="27"/>
      <c r="P143" s="27"/>
      <c r="Q143" s="28" t="str">
        <f t="shared" si="21"/>
        <v/>
      </c>
      <c r="R143" s="17"/>
      <c r="S143" s="31" t="str">
        <f t="shared" si="22"/>
        <v/>
      </c>
      <c r="T143" s="21"/>
      <c r="U143" s="21"/>
      <c r="V143" s="17"/>
      <c r="W143" s="17"/>
      <c r="X143" s="17"/>
      <c r="Y143" s="17"/>
      <c r="Z143" s="17"/>
      <c r="AA143" s="17"/>
      <c r="AB143" s="17"/>
      <c r="AC143" s="17"/>
      <c r="AD143" s="17"/>
      <c r="AE143" s="25" t="str">
        <f t="shared" ca="1" si="23"/>
        <v/>
      </c>
      <c r="AF143" s="1" t="str">
        <f t="shared" si="24"/>
        <v/>
      </c>
      <c r="AG143" s="17"/>
      <c r="AH143" s="17"/>
      <c r="AI143" s="17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8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9" t="str">
        <f t="shared" si="20"/>
        <v/>
      </c>
      <c r="N144" s="17"/>
      <c r="O144" s="27"/>
      <c r="P144" s="27"/>
      <c r="Q144" s="28" t="str">
        <f t="shared" si="21"/>
        <v/>
      </c>
      <c r="R144" s="17"/>
      <c r="S144" s="31" t="str">
        <f t="shared" si="22"/>
        <v/>
      </c>
      <c r="T144" s="21"/>
      <c r="U144" s="21"/>
      <c r="V144" s="17"/>
      <c r="W144" s="17"/>
      <c r="X144" s="17"/>
      <c r="Y144" s="17"/>
      <c r="Z144" s="17"/>
      <c r="AA144" s="17"/>
      <c r="AB144" s="17"/>
      <c r="AC144" s="17"/>
      <c r="AD144" s="17"/>
      <c r="AE144" s="25" t="str">
        <f t="shared" ca="1" si="23"/>
        <v/>
      </c>
      <c r="AF144" s="1" t="str">
        <f t="shared" si="24"/>
        <v/>
      </c>
      <c r="AG144" s="17"/>
      <c r="AH144" s="17"/>
      <c r="AI144" s="17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8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9" t="str">
        <f t="shared" si="20"/>
        <v/>
      </c>
      <c r="N145" s="17"/>
      <c r="O145" s="27"/>
      <c r="P145" s="27"/>
      <c r="Q145" s="28" t="str">
        <f t="shared" si="21"/>
        <v/>
      </c>
      <c r="R145" s="17"/>
      <c r="S145" s="31" t="str">
        <f t="shared" si="22"/>
        <v/>
      </c>
      <c r="T145" s="21"/>
      <c r="U145" s="21"/>
      <c r="V145" s="17"/>
      <c r="W145" s="17"/>
      <c r="X145" s="17"/>
      <c r="Y145" s="17"/>
      <c r="Z145" s="17"/>
      <c r="AA145" s="17"/>
      <c r="AB145" s="17"/>
      <c r="AC145" s="17"/>
      <c r="AD145" s="17"/>
      <c r="AE145" s="25" t="str">
        <f t="shared" ca="1" si="23"/>
        <v/>
      </c>
      <c r="AF145" s="1" t="str">
        <f t="shared" si="24"/>
        <v/>
      </c>
      <c r="AG145" s="17"/>
      <c r="AH145" s="17"/>
      <c r="AI145" s="17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8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9" t="str">
        <f t="shared" si="20"/>
        <v/>
      </c>
      <c r="N146" s="17"/>
      <c r="O146" s="27"/>
      <c r="P146" s="27"/>
      <c r="Q146" s="28" t="str">
        <f t="shared" si="21"/>
        <v/>
      </c>
      <c r="R146" s="17"/>
      <c r="S146" s="31" t="str">
        <f t="shared" si="22"/>
        <v/>
      </c>
      <c r="T146" s="21"/>
      <c r="U146" s="21"/>
      <c r="V146" s="17"/>
      <c r="W146" s="17"/>
      <c r="X146" s="17"/>
      <c r="Y146" s="17"/>
      <c r="Z146" s="17"/>
      <c r="AA146" s="17"/>
      <c r="AB146" s="17"/>
      <c r="AC146" s="17"/>
      <c r="AD146" s="17"/>
      <c r="AE146" s="25" t="str">
        <f t="shared" ca="1" si="23"/>
        <v/>
      </c>
      <c r="AF146" s="1" t="str">
        <f t="shared" si="24"/>
        <v/>
      </c>
      <c r="AG146" s="17"/>
      <c r="AH146" s="17"/>
      <c r="AI146" s="17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8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9" t="str">
        <f t="shared" si="20"/>
        <v/>
      </c>
      <c r="N147" s="17"/>
      <c r="O147" s="27"/>
      <c r="P147" s="27"/>
      <c r="Q147" s="28" t="str">
        <f t="shared" si="21"/>
        <v/>
      </c>
      <c r="R147" s="17"/>
      <c r="S147" s="31" t="str">
        <f t="shared" si="22"/>
        <v/>
      </c>
      <c r="T147" s="21"/>
      <c r="U147" s="21"/>
      <c r="V147" s="17"/>
      <c r="W147" s="17"/>
      <c r="X147" s="17"/>
      <c r="Y147" s="17"/>
      <c r="Z147" s="17"/>
      <c r="AA147" s="17"/>
      <c r="AB147" s="17"/>
      <c r="AC147" s="17"/>
      <c r="AD147" s="17"/>
      <c r="AE147" s="25" t="str">
        <f t="shared" ca="1" si="23"/>
        <v/>
      </c>
      <c r="AF147" s="1" t="str">
        <f t="shared" si="24"/>
        <v/>
      </c>
      <c r="AG147" s="17"/>
      <c r="AH147" s="17"/>
      <c r="AI147" s="17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8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9" t="str">
        <f t="shared" si="20"/>
        <v/>
      </c>
      <c r="N148" s="17"/>
      <c r="O148" s="27"/>
      <c r="P148" s="27"/>
      <c r="Q148" s="28" t="str">
        <f t="shared" si="21"/>
        <v/>
      </c>
      <c r="R148" s="17"/>
      <c r="S148" s="31" t="str">
        <f t="shared" si="22"/>
        <v/>
      </c>
      <c r="T148" s="21"/>
      <c r="U148" s="21"/>
      <c r="V148" s="17"/>
      <c r="W148" s="17"/>
      <c r="X148" s="17"/>
      <c r="Y148" s="17"/>
      <c r="Z148" s="17"/>
      <c r="AA148" s="17"/>
      <c r="AB148" s="17"/>
      <c r="AC148" s="17"/>
      <c r="AD148" s="17"/>
      <c r="AE148" s="25" t="str">
        <f t="shared" ca="1" si="23"/>
        <v/>
      </c>
      <c r="AF148" s="1" t="str">
        <f t="shared" si="24"/>
        <v/>
      </c>
      <c r="AG148" s="17"/>
      <c r="AH148" s="17"/>
      <c r="AI148" s="17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8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9" t="str">
        <f t="shared" si="20"/>
        <v/>
      </c>
      <c r="N149" s="17"/>
      <c r="O149" s="27"/>
      <c r="P149" s="27"/>
      <c r="Q149" s="28" t="str">
        <f t="shared" si="21"/>
        <v/>
      </c>
      <c r="R149" s="17"/>
      <c r="S149" s="31" t="str">
        <f t="shared" si="22"/>
        <v/>
      </c>
      <c r="T149" s="21"/>
      <c r="U149" s="21"/>
      <c r="V149" s="17"/>
      <c r="W149" s="17"/>
      <c r="X149" s="17"/>
      <c r="Y149" s="17"/>
      <c r="Z149" s="17"/>
      <c r="AA149" s="17"/>
      <c r="AB149" s="17"/>
      <c r="AC149" s="17"/>
      <c r="AD149" s="17"/>
      <c r="AE149" s="25" t="str">
        <f t="shared" ca="1" si="23"/>
        <v/>
      </c>
      <c r="AF149" s="1" t="str">
        <f t="shared" si="24"/>
        <v/>
      </c>
      <c r="AG149" s="17"/>
      <c r="AH149" s="17"/>
      <c r="AI149" s="17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8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9" t="str">
        <f t="shared" si="20"/>
        <v/>
      </c>
      <c r="N150" s="17"/>
      <c r="O150" s="27"/>
      <c r="P150" s="27"/>
      <c r="Q150" s="28" t="str">
        <f t="shared" si="21"/>
        <v/>
      </c>
      <c r="R150" s="17"/>
      <c r="S150" s="31" t="str">
        <f t="shared" si="22"/>
        <v/>
      </c>
      <c r="T150" s="21"/>
      <c r="U150" s="21"/>
      <c r="V150" s="17"/>
      <c r="W150" s="17"/>
      <c r="X150" s="17"/>
      <c r="Y150" s="17"/>
      <c r="Z150" s="17"/>
      <c r="AA150" s="17"/>
      <c r="AB150" s="17"/>
      <c r="AC150" s="17"/>
      <c r="AD150" s="17"/>
      <c r="AE150" s="25" t="str">
        <f t="shared" ca="1" si="23"/>
        <v/>
      </c>
      <c r="AF150" s="1" t="str">
        <f t="shared" si="24"/>
        <v/>
      </c>
      <c r="AG150" s="17"/>
      <c r="AH150" s="17"/>
      <c r="AI150" s="17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8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9" t="str">
        <f t="shared" si="20"/>
        <v/>
      </c>
      <c r="N151" s="17"/>
      <c r="O151" s="27"/>
      <c r="P151" s="27"/>
      <c r="Q151" s="28" t="str">
        <f t="shared" si="21"/>
        <v/>
      </c>
      <c r="R151" s="17"/>
      <c r="S151" s="31" t="str">
        <f t="shared" si="22"/>
        <v/>
      </c>
      <c r="T151" s="21"/>
      <c r="U151" s="21"/>
      <c r="V151" s="17"/>
      <c r="W151" s="17"/>
      <c r="X151" s="17"/>
      <c r="Y151" s="17"/>
      <c r="Z151" s="17"/>
      <c r="AA151" s="17"/>
      <c r="AB151" s="17"/>
      <c r="AC151" s="17"/>
      <c r="AD151" s="17"/>
      <c r="AE151" s="25" t="str">
        <f t="shared" ca="1" si="23"/>
        <v/>
      </c>
      <c r="AF151" s="1" t="str">
        <f t="shared" si="24"/>
        <v/>
      </c>
      <c r="AG151" s="17"/>
      <c r="AH151" s="17"/>
      <c r="AI151" s="17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8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9" t="str">
        <f t="shared" si="20"/>
        <v/>
      </c>
      <c r="N152" s="17"/>
      <c r="O152" s="27"/>
      <c r="P152" s="27"/>
      <c r="Q152" s="28" t="str">
        <f t="shared" si="21"/>
        <v/>
      </c>
      <c r="R152" s="17"/>
      <c r="S152" s="31" t="str">
        <f t="shared" si="22"/>
        <v/>
      </c>
      <c r="T152" s="21"/>
      <c r="U152" s="21"/>
      <c r="V152" s="17"/>
      <c r="W152" s="17"/>
      <c r="X152" s="17"/>
      <c r="Y152" s="17"/>
      <c r="Z152" s="17"/>
      <c r="AA152" s="17"/>
      <c r="AB152" s="17"/>
      <c r="AC152" s="17"/>
      <c r="AD152" s="17"/>
      <c r="AE152" s="25" t="str">
        <f t="shared" ca="1" si="23"/>
        <v/>
      </c>
      <c r="AF152" s="1" t="str">
        <f t="shared" si="24"/>
        <v/>
      </c>
      <c r="AG152" s="17"/>
      <c r="AH152" s="17"/>
      <c r="AI152" s="17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8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9" t="str">
        <f t="shared" si="20"/>
        <v/>
      </c>
      <c r="N153" s="17"/>
      <c r="O153" s="27"/>
      <c r="P153" s="27"/>
      <c r="Q153" s="28" t="str">
        <f t="shared" si="21"/>
        <v/>
      </c>
      <c r="R153" s="17"/>
      <c r="S153" s="31" t="str">
        <f t="shared" si="22"/>
        <v/>
      </c>
      <c r="T153" s="21"/>
      <c r="U153" s="21"/>
      <c r="V153" s="17"/>
      <c r="W153" s="17"/>
      <c r="X153" s="17"/>
      <c r="Y153" s="17"/>
      <c r="Z153" s="17"/>
      <c r="AA153" s="17"/>
      <c r="AB153" s="17"/>
      <c r="AC153" s="17"/>
      <c r="AD153" s="17"/>
      <c r="AE153" s="25" t="str">
        <f t="shared" ca="1" si="23"/>
        <v/>
      </c>
      <c r="AF153" s="1" t="str">
        <f t="shared" si="24"/>
        <v/>
      </c>
      <c r="AG153" s="17"/>
      <c r="AH153" s="17"/>
      <c r="AI153" s="17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8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9" t="str">
        <f t="shared" si="20"/>
        <v/>
      </c>
      <c r="N154" s="17"/>
      <c r="O154" s="27"/>
      <c r="P154" s="27"/>
      <c r="Q154" s="28" t="str">
        <f t="shared" si="21"/>
        <v/>
      </c>
      <c r="R154" s="17"/>
      <c r="S154" s="31" t="str">
        <f t="shared" si="22"/>
        <v/>
      </c>
      <c r="T154" s="21"/>
      <c r="U154" s="21"/>
      <c r="V154" s="17"/>
      <c r="W154" s="17"/>
      <c r="X154" s="17"/>
      <c r="Y154" s="17"/>
      <c r="Z154" s="17"/>
      <c r="AA154" s="17"/>
      <c r="AB154" s="17"/>
      <c r="AC154" s="17"/>
      <c r="AD154" s="17"/>
      <c r="AE154" s="25" t="str">
        <f t="shared" ca="1" si="23"/>
        <v/>
      </c>
      <c r="AF154" s="1" t="str">
        <f t="shared" si="24"/>
        <v/>
      </c>
      <c r="AG154" s="17"/>
      <c r="AH154" s="17"/>
      <c r="AI154" s="17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8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9" t="str">
        <f t="shared" si="20"/>
        <v/>
      </c>
      <c r="N155" s="17"/>
      <c r="O155" s="27"/>
      <c r="P155" s="27"/>
      <c r="Q155" s="28" t="str">
        <f t="shared" si="21"/>
        <v/>
      </c>
      <c r="R155" s="17"/>
      <c r="S155" s="31" t="str">
        <f t="shared" si="22"/>
        <v/>
      </c>
      <c r="T155" s="21"/>
      <c r="U155" s="21"/>
      <c r="V155" s="17"/>
      <c r="W155" s="17"/>
      <c r="X155" s="17"/>
      <c r="Y155" s="17"/>
      <c r="Z155" s="17"/>
      <c r="AA155" s="17"/>
      <c r="AB155" s="17"/>
      <c r="AC155" s="17"/>
      <c r="AD155" s="17"/>
      <c r="AE155" s="25" t="str">
        <f t="shared" ca="1" si="23"/>
        <v/>
      </c>
      <c r="AF155" s="1" t="str">
        <f t="shared" si="24"/>
        <v/>
      </c>
      <c r="AG155" s="17"/>
      <c r="AH155" s="17"/>
      <c r="AI155" s="17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8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9" t="str">
        <f t="shared" si="20"/>
        <v/>
      </c>
      <c r="N156" s="17"/>
      <c r="O156" s="27"/>
      <c r="P156" s="27"/>
      <c r="Q156" s="28" t="str">
        <f t="shared" si="21"/>
        <v/>
      </c>
      <c r="R156" s="17"/>
      <c r="S156" s="31" t="str">
        <f t="shared" si="22"/>
        <v/>
      </c>
      <c r="T156" s="21"/>
      <c r="U156" s="21"/>
      <c r="V156" s="17"/>
      <c r="W156" s="17"/>
      <c r="X156" s="17"/>
      <c r="Y156" s="17"/>
      <c r="Z156" s="17"/>
      <c r="AA156" s="17"/>
      <c r="AB156" s="17"/>
      <c r="AC156" s="17"/>
      <c r="AD156" s="17"/>
      <c r="AE156" s="25" t="str">
        <f t="shared" ca="1" si="23"/>
        <v/>
      </c>
      <c r="AF156" s="1" t="str">
        <f t="shared" si="24"/>
        <v/>
      </c>
      <c r="AG156" s="17"/>
      <c r="AH156" s="17"/>
      <c r="AI156" s="17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8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9" t="str">
        <f t="shared" si="20"/>
        <v/>
      </c>
      <c r="N157" s="17"/>
      <c r="O157" s="27"/>
      <c r="P157" s="27"/>
      <c r="Q157" s="28" t="str">
        <f t="shared" si="21"/>
        <v/>
      </c>
      <c r="R157" s="17"/>
      <c r="S157" s="31" t="str">
        <f t="shared" si="22"/>
        <v/>
      </c>
      <c r="T157" s="21"/>
      <c r="U157" s="21"/>
      <c r="V157" s="17"/>
      <c r="W157" s="17"/>
      <c r="X157" s="17"/>
      <c r="Y157" s="17"/>
      <c r="Z157" s="17"/>
      <c r="AA157" s="17"/>
      <c r="AB157" s="17"/>
      <c r="AC157" s="17"/>
      <c r="AD157" s="17"/>
      <c r="AE157" s="25" t="str">
        <f t="shared" ca="1" si="23"/>
        <v/>
      </c>
      <c r="AF157" s="1" t="str">
        <f t="shared" si="24"/>
        <v/>
      </c>
      <c r="AG157" s="17"/>
      <c r="AH157" s="17"/>
      <c r="AI157" s="17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8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9" t="str">
        <f t="shared" si="20"/>
        <v/>
      </c>
      <c r="N158" s="17"/>
      <c r="O158" s="27"/>
      <c r="P158" s="27"/>
      <c r="Q158" s="28" t="str">
        <f t="shared" si="21"/>
        <v/>
      </c>
      <c r="R158" s="17"/>
      <c r="S158" s="31" t="str">
        <f t="shared" si="22"/>
        <v/>
      </c>
      <c r="T158" s="21"/>
      <c r="U158" s="21"/>
      <c r="V158" s="17"/>
      <c r="W158" s="17"/>
      <c r="X158" s="17"/>
      <c r="Y158" s="17"/>
      <c r="Z158" s="17"/>
      <c r="AA158" s="17"/>
      <c r="AB158" s="17"/>
      <c r="AC158" s="17"/>
      <c r="AD158" s="17"/>
      <c r="AE158" s="25" t="str">
        <f t="shared" ca="1" si="23"/>
        <v/>
      </c>
      <c r="AF158" s="1" t="str">
        <f t="shared" si="24"/>
        <v/>
      </c>
      <c r="AG158" s="17"/>
      <c r="AH158" s="17"/>
      <c r="AI158" s="17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8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9" t="str">
        <f t="shared" si="20"/>
        <v/>
      </c>
      <c r="N159" s="17"/>
      <c r="O159" s="27"/>
      <c r="P159" s="27"/>
      <c r="Q159" s="28" t="str">
        <f t="shared" si="21"/>
        <v/>
      </c>
      <c r="R159" s="17"/>
      <c r="S159" s="31" t="str">
        <f t="shared" si="22"/>
        <v/>
      </c>
      <c r="T159" s="21"/>
      <c r="U159" s="21"/>
      <c r="V159" s="17"/>
      <c r="W159" s="17"/>
      <c r="X159" s="17"/>
      <c r="Y159" s="17"/>
      <c r="Z159" s="17"/>
      <c r="AA159" s="17"/>
      <c r="AB159" s="17"/>
      <c r="AC159" s="17"/>
      <c r="AD159" s="17"/>
      <c r="AE159" s="25" t="str">
        <f t="shared" ca="1" si="23"/>
        <v/>
      </c>
      <c r="AF159" s="1" t="str">
        <f t="shared" si="24"/>
        <v/>
      </c>
      <c r="AG159" s="17"/>
      <c r="AH159" s="17"/>
      <c r="AI159" s="17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8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9" t="str">
        <f t="shared" si="20"/>
        <v/>
      </c>
      <c r="N160" s="17"/>
      <c r="O160" s="27"/>
      <c r="P160" s="27"/>
      <c r="Q160" s="28" t="str">
        <f t="shared" si="21"/>
        <v/>
      </c>
      <c r="R160" s="17"/>
      <c r="S160" s="31" t="str">
        <f t="shared" si="22"/>
        <v/>
      </c>
      <c r="T160" s="21"/>
      <c r="U160" s="21"/>
      <c r="V160" s="17"/>
      <c r="W160" s="17"/>
      <c r="X160" s="17"/>
      <c r="Y160" s="17"/>
      <c r="Z160" s="17"/>
      <c r="AA160" s="17"/>
      <c r="AB160" s="17"/>
      <c r="AC160" s="17"/>
      <c r="AD160" s="17"/>
      <c r="AE160" s="25" t="str">
        <f t="shared" ca="1" si="23"/>
        <v/>
      </c>
      <c r="AF160" s="1" t="str">
        <f t="shared" si="24"/>
        <v/>
      </c>
      <c r="AG160" s="17"/>
      <c r="AH160" s="17"/>
      <c r="AI160" s="17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8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9" t="str">
        <f t="shared" si="20"/>
        <v/>
      </c>
      <c r="N161" s="17"/>
      <c r="O161" s="27"/>
      <c r="P161" s="27"/>
      <c r="Q161" s="28" t="str">
        <f t="shared" si="21"/>
        <v/>
      </c>
      <c r="R161" s="17"/>
      <c r="S161" s="31" t="str">
        <f t="shared" si="22"/>
        <v/>
      </c>
      <c r="T161" s="21"/>
      <c r="U161" s="21"/>
      <c r="V161" s="17"/>
      <c r="W161" s="17"/>
      <c r="X161" s="17"/>
      <c r="Y161" s="17"/>
      <c r="Z161" s="17"/>
      <c r="AA161" s="17"/>
      <c r="AB161" s="17"/>
      <c r="AC161" s="17"/>
      <c r="AD161" s="17"/>
      <c r="AE161" s="25" t="str">
        <f t="shared" ca="1" si="23"/>
        <v/>
      </c>
      <c r="AF161" s="1" t="str">
        <f t="shared" si="24"/>
        <v/>
      </c>
      <c r="AG161" s="17"/>
      <c r="AH161" s="17"/>
      <c r="AI161" s="17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8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9" t="str">
        <f t="shared" si="20"/>
        <v/>
      </c>
      <c r="N162" s="17"/>
      <c r="O162" s="27"/>
      <c r="P162" s="27"/>
      <c r="Q162" s="28" t="str">
        <f t="shared" si="21"/>
        <v/>
      </c>
      <c r="R162" s="17"/>
      <c r="S162" s="31" t="str">
        <f t="shared" si="22"/>
        <v/>
      </c>
      <c r="T162" s="21"/>
      <c r="U162" s="21"/>
      <c r="V162" s="17"/>
      <c r="W162" s="17"/>
      <c r="X162" s="17"/>
      <c r="Y162" s="17"/>
      <c r="Z162" s="17"/>
      <c r="AA162" s="17"/>
      <c r="AB162" s="17"/>
      <c r="AC162" s="17"/>
      <c r="AD162" s="17"/>
      <c r="AE162" s="25" t="str">
        <f t="shared" ca="1" si="23"/>
        <v/>
      </c>
      <c r="AF162" s="1" t="str">
        <f t="shared" si="24"/>
        <v/>
      </c>
      <c r="AG162" s="17"/>
      <c r="AH162" s="17"/>
      <c r="AI162" s="17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8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9" t="str">
        <f t="shared" si="20"/>
        <v/>
      </c>
      <c r="N163" s="17"/>
      <c r="O163" s="27"/>
      <c r="P163" s="27"/>
      <c r="Q163" s="28" t="str">
        <f t="shared" si="21"/>
        <v/>
      </c>
      <c r="R163" s="17"/>
      <c r="S163" s="31" t="str">
        <f t="shared" si="22"/>
        <v/>
      </c>
      <c r="T163" s="21"/>
      <c r="U163" s="21"/>
      <c r="V163" s="17"/>
      <c r="W163" s="17"/>
      <c r="X163" s="17"/>
      <c r="Y163" s="17"/>
      <c r="Z163" s="17"/>
      <c r="AA163" s="17"/>
      <c r="AB163" s="17"/>
      <c r="AC163" s="17"/>
      <c r="AD163" s="17"/>
      <c r="AE163" s="25" t="str">
        <f t="shared" ca="1" si="23"/>
        <v/>
      </c>
      <c r="AF163" s="1" t="str">
        <f t="shared" si="24"/>
        <v/>
      </c>
      <c r="AG163" s="17"/>
      <c r="AH163" s="17"/>
      <c r="AI163" s="17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8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9" t="str">
        <f t="shared" si="20"/>
        <v/>
      </c>
      <c r="N164" s="17"/>
      <c r="O164" s="27"/>
      <c r="P164" s="27"/>
      <c r="Q164" s="28" t="str">
        <f t="shared" si="21"/>
        <v/>
      </c>
      <c r="R164" s="17"/>
      <c r="S164" s="31" t="str">
        <f t="shared" si="22"/>
        <v/>
      </c>
      <c r="T164" s="21"/>
      <c r="U164" s="21"/>
      <c r="V164" s="17"/>
      <c r="W164" s="17"/>
      <c r="X164" s="17"/>
      <c r="Y164" s="17"/>
      <c r="Z164" s="17"/>
      <c r="AA164" s="17"/>
      <c r="AB164" s="17"/>
      <c r="AC164" s="17"/>
      <c r="AD164" s="17"/>
      <c r="AE164" s="25" t="str">
        <f t="shared" ca="1" si="23"/>
        <v/>
      </c>
      <c r="AF164" s="1" t="str">
        <f t="shared" si="24"/>
        <v/>
      </c>
      <c r="AG164" s="17"/>
      <c r="AH164" s="17"/>
      <c r="AI164" s="17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8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9" t="str">
        <f t="shared" si="20"/>
        <v/>
      </c>
      <c r="N165" s="17"/>
      <c r="O165" s="27"/>
      <c r="P165" s="27"/>
      <c r="Q165" s="28" t="str">
        <f t="shared" si="21"/>
        <v/>
      </c>
      <c r="R165" s="17"/>
      <c r="S165" s="31" t="str">
        <f t="shared" si="22"/>
        <v/>
      </c>
      <c r="T165" s="21"/>
      <c r="U165" s="21"/>
      <c r="V165" s="17"/>
      <c r="W165" s="17"/>
      <c r="X165" s="17"/>
      <c r="Y165" s="17"/>
      <c r="Z165" s="17"/>
      <c r="AA165" s="17"/>
      <c r="AB165" s="17"/>
      <c r="AC165" s="17"/>
      <c r="AD165" s="17"/>
      <c r="AE165" s="25" t="str">
        <f t="shared" ca="1" si="23"/>
        <v/>
      </c>
      <c r="AF165" s="1" t="str">
        <f t="shared" si="24"/>
        <v/>
      </c>
      <c r="AG165" s="17"/>
      <c r="AH165" s="17"/>
      <c r="AI165" s="17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8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9" t="str">
        <f t="shared" si="20"/>
        <v/>
      </c>
      <c r="N166" s="17"/>
      <c r="O166" s="27"/>
      <c r="P166" s="27"/>
      <c r="Q166" s="28" t="str">
        <f t="shared" si="21"/>
        <v/>
      </c>
      <c r="R166" s="17"/>
      <c r="S166" s="31" t="str">
        <f t="shared" si="22"/>
        <v/>
      </c>
      <c r="T166" s="21"/>
      <c r="U166" s="21"/>
      <c r="V166" s="17"/>
      <c r="W166" s="17"/>
      <c r="X166" s="17"/>
      <c r="Y166" s="17"/>
      <c r="Z166" s="17"/>
      <c r="AA166" s="17"/>
      <c r="AB166" s="17"/>
      <c r="AC166" s="17"/>
      <c r="AD166" s="17"/>
      <c r="AE166" s="25" t="str">
        <f t="shared" ca="1" si="23"/>
        <v/>
      </c>
      <c r="AF166" s="1" t="str">
        <f t="shared" si="24"/>
        <v/>
      </c>
      <c r="AG166" s="17"/>
      <c r="AH166" s="17"/>
      <c r="AI166" s="17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8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9" t="str">
        <f t="shared" ref="M167:M198" si="25">IF(OR(K167="",K167=0,L167=""),"",L167/K167)</f>
        <v/>
      </c>
      <c r="N167" s="17"/>
      <c r="O167" s="27"/>
      <c r="P167" s="27"/>
      <c r="Q167" s="28" t="str">
        <f t="shared" ref="Q167:Q198" si="26">IF(OR(O167="",P167=""),"",O167*P167)</f>
        <v/>
      </c>
      <c r="R167" s="17"/>
      <c r="S167" s="31" t="str">
        <f t="shared" ref="S167:S198" si="27">IF(OR(Q167="",R167=""),"",Q167*IF(R167="Monthly",12,IF(R167="Quarterly",4,IF(R167="Half-Yearly",2,IF(R167="Annual",1,IF(R167="One-time",0,1))))))</f>
        <v/>
      </c>
      <c r="T167" s="21"/>
      <c r="U167" s="21"/>
      <c r="V167" s="17"/>
      <c r="W167" s="17"/>
      <c r="X167" s="17"/>
      <c r="Y167" s="17"/>
      <c r="Z167" s="17"/>
      <c r="AA167" s="17"/>
      <c r="AB167" s="17"/>
      <c r="AC167" s="17"/>
      <c r="AD167" s="17"/>
      <c r="AE167" s="25" t="str">
        <f t="shared" ref="AE167:AE198" ca="1" si="28">IF(U167="","",U167-TODAY())</f>
        <v/>
      </c>
      <c r="AF167" s="1" t="str">
        <f t="shared" ref="AF167:AF198" si="29">IF(U167="","",IF(AD167&lt;&gt;"Active","Inactive",IF(AE167&lt;0,"Expired",IF(AE167&lt;=30,"Due within 30 days",IF(AE167&lt;=60,"Due in 31-60 days",IF(AE167&lt;=90,"Due in 61-90 days","Later"))))))</f>
        <v/>
      </c>
      <c r="AG167" s="17"/>
      <c r="AH167" s="17"/>
      <c r="AI167" s="17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8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9" t="str">
        <f t="shared" si="25"/>
        <v/>
      </c>
      <c r="N168" s="17"/>
      <c r="O168" s="27"/>
      <c r="P168" s="27"/>
      <c r="Q168" s="28" t="str">
        <f t="shared" si="26"/>
        <v/>
      </c>
      <c r="R168" s="17"/>
      <c r="S168" s="31" t="str">
        <f t="shared" si="27"/>
        <v/>
      </c>
      <c r="T168" s="21"/>
      <c r="U168" s="21"/>
      <c r="V168" s="17"/>
      <c r="W168" s="17"/>
      <c r="X168" s="17"/>
      <c r="Y168" s="17"/>
      <c r="Z168" s="17"/>
      <c r="AA168" s="17"/>
      <c r="AB168" s="17"/>
      <c r="AC168" s="17"/>
      <c r="AD168" s="17"/>
      <c r="AE168" s="25" t="str">
        <f t="shared" ca="1" si="28"/>
        <v/>
      </c>
      <c r="AF168" s="1" t="str">
        <f t="shared" si="29"/>
        <v/>
      </c>
      <c r="AG168" s="17"/>
      <c r="AH168" s="17"/>
      <c r="AI168" s="17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8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9" t="str">
        <f t="shared" si="25"/>
        <v/>
      </c>
      <c r="N169" s="17"/>
      <c r="O169" s="27"/>
      <c r="P169" s="27"/>
      <c r="Q169" s="28" t="str">
        <f t="shared" si="26"/>
        <v/>
      </c>
      <c r="R169" s="17"/>
      <c r="S169" s="31" t="str">
        <f t="shared" si="27"/>
        <v/>
      </c>
      <c r="T169" s="21"/>
      <c r="U169" s="21"/>
      <c r="V169" s="17"/>
      <c r="W169" s="17"/>
      <c r="X169" s="17"/>
      <c r="Y169" s="17"/>
      <c r="Z169" s="17"/>
      <c r="AA169" s="17"/>
      <c r="AB169" s="17"/>
      <c r="AC169" s="17"/>
      <c r="AD169" s="17"/>
      <c r="AE169" s="25" t="str">
        <f t="shared" ca="1" si="28"/>
        <v/>
      </c>
      <c r="AF169" s="1" t="str">
        <f t="shared" si="29"/>
        <v/>
      </c>
      <c r="AG169" s="17"/>
      <c r="AH169" s="17"/>
      <c r="AI169" s="17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8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9" t="str">
        <f t="shared" si="25"/>
        <v/>
      </c>
      <c r="N170" s="17"/>
      <c r="O170" s="27"/>
      <c r="P170" s="27"/>
      <c r="Q170" s="28" t="str">
        <f t="shared" si="26"/>
        <v/>
      </c>
      <c r="R170" s="17"/>
      <c r="S170" s="31" t="str">
        <f t="shared" si="27"/>
        <v/>
      </c>
      <c r="T170" s="21"/>
      <c r="U170" s="21"/>
      <c r="V170" s="17"/>
      <c r="W170" s="17"/>
      <c r="X170" s="17"/>
      <c r="Y170" s="17"/>
      <c r="Z170" s="17"/>
      <c r="AA170" s="17"/>
      <c r="AB170" s="17"/>
      <c r="AC170" s="17"/>
      <c r="AD170" s="17"/>
      <c r="AE170" s="25" t="str">
        <f t="shared" ca="1" si="28"/>
        <v/>
      </c>
      <c r="AF170" s="1" t="str">
        <f t="shared" si="29"/>
        <v/>
      </c>
      <c r="AG170" s="17"/>
      <c r="AH170" s="17"/>
      <c r="AI170" s="17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8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9" t="str">
        <f t="shared" si="25"/>
        <v/>
      </c>
      <c r="N171" s="17"/>
      <c r="O171" s="27"/>
      <c r="P171" s="27"/>
      <c r="Q171" s="28" t="str">
        <f t="shared" si="26"/>
        <v/>
      </c>
      <c r="R171" s="17"/>
      <c r="S171" s="31" t="str">
        <f t="shared" si="27"/>
        <v/>
      </c>
      <c r="T171" s="21"/>
      <c r="U171" s="21"/>
      <c r="V171" s="17"/>
      <c r="W171" s="17"/>
      <c r="X171" s="17"/>
      <c r="Y171" s="17"/>
      <c r="Z171" s="17"/>
      <c r="AA171" s="17"/>
      <c r="AB171" s="17"/>
      <c r="AC171" s="17"/>
      <c r="AD171" s="17"/>
      <c r="AE171" s="25" t="str">
        <f t="shared" ca="1" si="28"/>
        <v/>
      </c>
      <c r="AF171" s="1" t="str">
        <f t="shared" si="29"/>
        <v/>
      </c>
      <c r="AG171" s="17"/>
      <c r="AH171" s="17"/>
      <c r="AI171" s="17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8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9" t="str">
        <f t="shared" si="25"/>
        <v/>
      </c>
      <c r="N172" s="17"/>
      <c r="O172" s="27"/>
      <c r="P172" s="27"/>
      <c r="Q172" s="28" t="str">
        <f t="shared" si="26"/>
        <v/>
      </c>
      <c r="R172" s="17"/>
      <c r="S172" s="31" t="str">
        <f t="shared" si="27"/>
        <v/>
      </c>
      <c r="T172" s="21"/>
      <c r="U172" s="21"/>
      <c r="V172" s="17"/>
      <c r="W172" s="17"/>
      <c r="X172" s="17"/>
      <c r="Y172" s="17"/>
      <c r="Z172" s="17"/>
      <c r="AA172" s="17"/>
      <c r="AB172" s="17"/>
      <c r="AC172" s="17"/>
      <c r="AD172" s="17"/>
      <c r="AE172" s="25" t="str">
        <f t="shared" ca="1" si="28"/>
        <v/>
      </c>
      <c r="AF172" s="1" t="str">
        <f t="shared" si="29"/>
        <v/>
      </c>
      <c r="AG172" s="17"/>
      <c r="AH172" s="17"/>
      <c r="AI172" s="17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8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9" t="str">
        <f t="shared" si="25"/>
        <v/>
      </c>
      <c r="N173" s="17"/>
      <c r="O173" s="27"/>
      <c r="P173" s="27"/>
      <c r="Q173" s="28" t="str">
        <f t="shared" si="26"/>
        <v/>
      </c>
      <c r="R173" s="17"/>
      <c r="S173" s="31" t="str">
        <f t="shared" si="27"/>
        <v/>
      </c>
      <c r="T173" s="21"/>
      <c r="U173" s="21"/>
      <c r="V173" s="17"/>
      <c r="W173" s="17"/>
      <c r="X173" s="17"/>
      <c r="Y173" s="17"/>
      <c r="Z173" s="17"/>
      <c r="AA173" s="17"/>
      <c r="AB173" s="17"/>
      <c r="AC173" s="17"/>
      <c r="AD173" s="17"/>
      <c r="AE173" s="25" t="str">
        <f t="shared" ca="1" si="28"/>
        <v/>
      </c>
      <c r="AF173" s="1" t="str">
        <f t="shared" si="29"/>
        <v/>
      </c>
      <c r="AG173" s="17"/>
      <c r="AH173" s="17"/>
      <c r="AI173" s="17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8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9" t="str">
        <f t="shared" si="25"/>
        <v/>
      </c>
      <c r="N174" s="17"/>
      <c r="O174" s="27"/>
      <c r="P174" s="27"/>
      <c r="Q174" s="28" t="str">
        <f t="shared" si="26"/>
        <v/>
      </c>
      <c r="R174" s="17"/>
      <c r="S174" s="31" t="str">
        <f t="shared" si="27"/>
        <v/>
      </c>
      <c r="T174" s="21"/>
      <c r="U174" s="21"/>
      <c r="V174" s="17"/>
      <c r="W174" s="17"/>
      <c r="X174" s="17"/>
      <c r="Y174" s="17"/>
      <c r="Z174" s="17"/>
      <c r="AA174" s="17"/>
      <c r="AB174" s="17"/>
      <c r="AC174" s="17"/>
      <c r="AD174" s="17"/>
      <c r="AE174" s="25" t="str">
        <f t="shared" ca="1" si="28"/>
        <v/>
      </c>
      <c r="AF174" s="1" t="str">
        <f t="shared" si="29"/>
        <v/>
      </c>
      <c r="AG174" s="17"/>
      <c r="AH174" s="17"/>
      <c r="AI174" s="17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8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9" t="str">
        <f t="shared" si="25"/>
        <v/>
      </c>
      <c r="N175" s="17"/>
      <c r="O175" s="27"/>
      <c r="P175" s="27"/>
      <c r="Q175" s="28" t="str">
        <f t="shared" si="26"/>
        <v/>
      </c>
      <c r="R175" s="17"/>
      <c r="S175" s="31" t="str">
        <f t="shared" si="27"/>
        <v/>
      </c>
      <c r="T175" s="21"/>
      <c r="U175" s="21"/>
      <c r="V175" s="17"/>
      <c r="W175" s="17"/>
      <c r="X175" s="17"/>
      <c r="Y175" s="17"/>
      <c r="Z175" s="17"/>
      <c r="AA175" s="17"/>
      <c r="AB175" s="17"/>
      <c r="AC175" s="17"/>
      <c r="AD175" s="17"/>
      <c r="AE175" s="25" t="str">
        <f t="shared" ca="1" si="28"/>
        <v/>
      </c>
      <c r="AF175" s="1" t="str">
        <f t="shared" si="29"/>
        <v/>
      </c>
      <c r="AG175" s="17"/>
      <c r="AH175" s="17"/>
      <c r="AI175" s="17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8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9" t="str">
        <f t="shared" si="25"/>
        <v/>
      </c>
      <c r="N176" s="17"/>
      <c r="O176" s="27"/>
      <c r="P176" s="27"/>
      <c r="Q176" s="28" t="str">
        <f t="shared" si="26"/>
        <v/>
      </c>
      <c r="R176" s="17"/>
      <c r="S176" s="31" t="str">
        <f t="shared" si="27"/>
        <v/>
      </c>
      <c r="T176" s="21"/>
      <c r="U176" s="21"/>
      <c r="V176" s="17"/>
      <c r="W176" s="17"/>
      <c r="X176" s="17"/>
      <c r="Y176" s="17"/>
      <c r="Z176" s="17"/>
      <c r="AA176" s="17"/>
      <c r="AB176" s="17"/>
      <c r="AC176" s="17"/>
      <c r="AD176" s="17"/>
      <c r="AE176" s="25" t="str">
        <f t="shared" ca="1" si="28"/>
        <v/>
      </c>
      <c r="AF176" s="1" t="str">
        <f t="shared" si="29"/>
        <v/>
      </c>
      <c r="AG176" s="17"/>
      <c r="AH176" s="17"/>
      <c r="AI176" s="17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8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9" t="str">
        <f t="shared" si="25"/>
        <v/>
      </c>
      <c r="N177" s="17"/>
      <c r="O177" s="27"/>
      <c r="P177" s="27"/>
      <c r="Q177" s="28" t="str">
        <f t="shared" si="26"/>
        <v/>
      </c>
      <c r="R177" s="17"/>
      <c r="S177" s="31" t="str">
        <f t="shared" si="27"/>
        <v/>
      </c>
      <c r="T177" s="21"/>
      <c r="U177" s="21"/>
      <c r="V177" s="17"/>
      <c r="W177" s="17"/>
      <c r="X177" s="17"/>
      <c r="Y177" s="17"/>
      <c r="Z177" s="17"/>
      <c r="AA177" s="17"/>
      <c r="AB177" s="17"/>
      <c r="AC177" s="17"/>
      <c r="AD177" s="17"/>
      <c r="AE177" s="25" t="str">
        <f t="shared" ca="1" si="28"/>
        <v/>
      </c>
      <c r="AF177" s="1" t="str">
        <f t="shared" si="29"/>
        <v/>
      </c>
      <c r="AG177" s="17"/>
      <c r="AH177" s="17"/>
      <c r="AI177" s="17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8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9" t="str">
        <f t="shared" si="25"/>
        <v/>
      </c>
      <c r="N178" s="17"/>
      <c r="O178" s="27"/>
      <c r="P178" s="27"/>
      <c r="Q178" s="28" t="str">
        <f t="shared" si="26"/>
        <v/>
      </c>
      <c r="R178" s="17"/>
      <c r="S178" s="31" t="str">
        <f t="shared" si="27"/>
        <v/>
      </c>
      <c r="T178" s="21"/>
      <c r="U178" s="21"/>
      <c r="V178" s="17"/>
      <c r="W178" s="17"/>
      <c r="X178" s="17"/>
      <c r="Y178" s="17"/>
      <c r="Z178" s="17"/>
      <c r="AA178" s="17"/>
      <c r="AB178" s="17"/>
      <c r="AC178" s="17"/>
      <c r="AD178" s="17"/>
      <c r="AE178" s="25" t="str">
        <f t="shared" ca="1" si="28"/>
        <v/>
      </c>
      <c r="AF178" s="1" t="str">
        <f t="shared" si="29"/>
        <v/>
      </c>
      <c r="AG178" s="17"/>
      <c r="AH178" s="17"/>
      <c r="AI178" s="17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8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9" t="str">
        <f t="shared" si="25"/>
        <v/>
      </c>
      <c r="N179" s="17"/>
      <c r="O179" s="27"/>
      <c r="P179" s="27"/>
      <c r="Q179" s="28" t="str">
        <f t="shared" si="26"/>
        <v/>
      </c>
      <c r="R179" s="17"/>
      <c r="S179" s="31" t="str">
        <f t="shared" si="27"/>
        <v/>
      </c>
      <c r="T179" s="21"/>
      <c r="U179" s="21"/>
      <c r="V179" s="17"/>
      <c r="W179" s="17"/>
      <c r="X179" s="17"/>
      <c r="Y179" s="17"/>
      <c r="Z179" s="17"/>
      <c r="AA179" s="17"/>
      <c r="AB179" s="17"/>
      <c r="AC179" s="17"/>
      <c r="AD179" s="17"/>
      <c r="AE179" s="25" t="str">
        <f t="shared" ca="1" si="28"/>
        <v/>
      </c>
      <c r="AF179" s="1" t="str">
        <f t="shared" si="29"/>
        <v/>
      </c>
      <c r="AG179" s="17"/>
      <c r="AH179" s="17"/>
      <c r="AI179" s="17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8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9" t="str">
        <f t="shared" si="25"/>
        <v/>
      </c>
      <c r="N180" s="17"/>
      <c r="O180" s="27"/>
      <c r="P180" s="27"/>
      <c r="Q180" s="28" t="str">
        <f t="shared" si="26"/>
        <v/>
      </c>
      <c r="R180" s="17"/>
      <c r="S180" s="31" t="str">
        <f t="shared" si="27"/>
        <v/>
      </c>
      <c r="T180" s="21"/>
      <c r="U180" s="21"/>
      <c r="V180" s="17"/>
      <c r="W180" s="17"/>
      <c r="X180" s="17"/>
      <c r="Y180" s="17"/>
      <c r="Z180" s="17"/>
      <c r="AA180" s="17"/>
      <c r="AB180" s="17"/>
      <c r="AC180" s="17"/>
      <c r="AD180" s="17"/>
      <c r="AE180" s="25" t="str">
        <f t="shared" ca="1" si="28"/>
        <v/>
      </c>
      <c r="AF180" s="1" t="str">
        <f t="shared" si="29"/>
        <v/>
      </c>
      <c r="AG180" s="17"/>
      <c r="AH180" s="17"/>
      <c r="AI180" s="17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8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9" t="str">
        <f t="shared" si="25"/>
        <v/>
      </c>
      <c r="N181" s="17"/>
      <c r="O181" s="27"/>
      <c r="P181" s="27"/>
      <c r="Q181" s="28" t="str">
        <f t="shared" si="26"/>
        <v/>
      </c>
      <c r="R181" s="17"/>
      <c r="S181" s="31" t="str">
        <f t="shared" si="27"/>
        <v/>
      </c>
      <c r="T181" s="21"/>
      <c r="U181" s="21"/>
      <c r="V181" s="17"/>
      <c r="W181" s="17"/>
      <c r="X181" s="17"/>
      <c r="Y181" s="17"/>
      <c r="Z181" s="17"/>
      <c r="AA181" s="17"/>
      <c r="AB181" s="17"/>
      <c r="AC181" s="17"/>
      <c r="AD181" s="17"/>
      <c r="AE181" s="25" t="str">
        <f t="shared" ca="1" si="28"/>
        <v/>
      </c>
      <c r="AF181" s="1" t="str">
        <f t="shared" si="29"/>
        <v/>
      </c>
      <c r="AG181" s="17"/>
      <c r="AH181" s="17"/>
      <c r="AI181" s="17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8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9" t="str">
        <f t="shared" si="25"/>
        <v/>
      </c>
      <c r="N182" s="17"/>
      <c r="O182" s="27"/>
      <c r="P182" s="27"/>
      <c r="Q182" s="28" t="str">
        <f t="shared" si="26"/>
        <v/>
      </c>
      <c r="R182" s="17"/>
      <c r="S182" s="31" t="str">
        <f t="shared" si="27"/>
        <v/>
      </c>
      <c r="T182" s="21"/>
      <c r="U182" s="21"/>
      <c r="V182" s="17"/>
      <c r="W182" s="17"/>
      <c r="X182" s="17"/>
      <c r="Y182" s="17"/>
      <c r="Z182" s="17"/>
      <c r="AA182" s="17"/>
      <c r="AB182" s="17"/>
      <c r="AC182" s="17"/>
      <c r="AD182" s="17"/>
      <c r="AE182" s="25" t="str">
        <f t="shared" ca="1" si="28"/>
        <v/>
      </c>
      <c r="AF182" s="1" t="str">
        <f t="shared" si="29"/>
        <v/>
      </c>
      <c r="AG182" s="17"/>
      <c r="AH182" s="17"/>
      <c r="AI182" s="17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8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9" t="str">
        <f t="shared" si="25"/>
        <v/>
      </c>
      <c r="N183" s="17"/>
      <c r="O183" s="27"/>
      <c r="P183" s="27"/>
      <c r="Q183" s="28" t="str">
        <f t="shared" si="26"/>
        <v/>
      </c>
      <c r="R183" s="17"/>
      <c r="S183" s="31" t="str">
        <f t="shared" si="27"/>
        <v/>
      </c>
      <c r="T183" s="21"/>
      <c r="U183" s="21"/>
      <c r="V183" s="17"/>
      <c r="W183" s="17"/>
      <c r="X183" s="17"/>
      <c r="Y183" s="17"/>
      <c r="Z183" s="17"/>
      <c r="AA183" s="17"/>
      <c r="AB183" s="17"/>
      <c r="AC183" s="17"/>
      <c r="AD183" s="17"/>
      <c r="AE183" s="25" t="str">
        <f t="shared" ca="1" si="28"/>
        <v/>
      </c>
      <c r="AF183" s="1" t="str">
        <f t="shared" si="29"/>
        <v/>
      </c>
      <c r="AG183" s="17"/>
      <c r="AH183" s="17"/>
      <c r="AI183" s="17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8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9" t="str">
        <f t="shared" si="25"/>
        <v/>
      </c>
      <c r="N184" s="17"/>
      <c r="O184" s="27"/>
      <c r="P184" s="27"/>
      <c r="Q184" s="28" t="str">
        <f t="shared" si="26"/>
        <v/>
      </c>
      <c r="R184" s="17"/>
      <c r="S184" s="31" t="str">
        <f t="shared" si="27"/>
        <v/>
      </c>
      <c r="T184" s="21"/>
      <c r="U184" s="21"/>
      <c r="V184" s="17"/>
      <c r="W184" s="17"/>
      <c r="X184" s="17"/>
      <c r="Y184" s="17"/>
      <c r="Z184" s="17"/>
      <c r="AA184" s="17"/>
      <c r="AB184" s="17"/>
      <c r="AC184" s="17"/>
      <c r="AD184" s="17"/>
      <c r="AE184" s="25" t="str">
        <f t="shared" ca="1" si="28"/>
        <v/>
      </c>
      <c r="AF184" s="1" t="str">
        <f t="shared" si="29"/>
        <v/>
      </c>
      <c r="AG184" s="17"/>
      <c r="AH184" s="17"/>
      <c r="AI184" s="17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8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9" t="str">
        <f t="shared" si="25"/>
        <v/>
      </c>
      <c r="N185" s="17"/>
      <c r="O185" s="27"/>
      <c r="P185" s="27"/>
      <c r="Q185" s="28" t="str">
        <f t="shared" si="26"/>
        <v/>
      </c>
      <c r="R185" s="17"/>
      <c r="S185" s="31" t="str">
        <f t="shared" si="27"/>
        <v/>
      </c>
      <c r="T185" s="21"/>
      <c r="U185" s="21"/>
      <c r="V185" s="17"/>
      <c r="W185" s="17"/>
      <c r="X185" s="17"/>
      <c r="Y185" s="17"/>
      <c r="Z185" s="17"/>
      <c r="AA185" s="17"/>
      <c r="AB185" s="17"/>
      <c r="AC185" s="17"/>
      <c r="AD185" s="17"/>
      <c r="AE185" s="25" t="str">
        <f t="shared" ca="1" si="28"/>
        <v/>
      </c>
      <c r="AF185" s="1" t="str">
        <f t="shared" si="29"/>
        <v/>
      </c>
      <c r="AG185" s="17"/>
      <c r="AH185" s="17"/>
      <c r="AI185" s="17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8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9" t="str">
        <f t="shared" si="25"/>
        <v/>
      </c>
      <c r="N186" s="17"/>
      <c r="O186" s="27"/>
      <c r="P186" s="27"/>
      <c r="Q186" s="28" t="str">
        <f t="shared" si="26"/>
        <v/>
      </c>
      <c r="R186" s="17"/>
      <c r="S186" s="31" t="str">
        <f t="shared" si="27"/>
        <v/>
      </c>
      <c r="T186" s="21"/>
      <c r="U186" s="21"/>
      <c r="V186" s="17"/>
      <c r="W186" s="17"/>
      <c r="X186" s="17"/>
      <c r="Y186" s="17"/>
      <c r="Z186" s="17"/>
      <c r="AA186" s="17"/>
      <c r="AB186" s="17"/>
      <c r="AC186" s="17"/>
      <c r="AD186" s="17"/>
      <c r="AE186" s="25" t="str">
        <f t="shared" ca="1" si="28"/>
        <v/>
      </c>
      <c r="AF186" s="1" t="str">
        <f t="shared" si="29"/>
        <v/>
      </c>
      <c r="AG186" s="17"/>
      <c r="AH186" s="17"/>
      <c r="AI186" s="17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8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9" t="str">
        <f t="shared" si="25"/>
        <v/>
      </c>
      <c r="N187" s="17"/>
      <c r="O187" s="27"/>
      <c r="P187" s="27"/>
      <c r="Q187" s="28" t="str">
        <f t="shared" si="26"/>
        <v/>
      </c>
      <c r="R187" s="17"/>
      <c r="S187" s="31" t="str">
        <f t="shared" si="27"/>
        <v/>
      </c>
      <c r="T187" s="21"/>
      <c r="U187" s="21"/>
      <c r="V187" s="17"/>
      <c r="W187" s="17"/>
      <c r="X187" s="17"/>
      <c r="Y187" s="17"/>
      <c r="Z187" s="17"/>
      <c r="AA187" s="17"/>
      <c r="AB187" s="17"/>
      <c r="AC187" s="17"/>
      <c r="AD187" s="17"/>
      <c r="AE187" s="25" t="str">
        <f t="shared" ca="1" si="28"/>
        <v/>
      </c>
      <c r="AF187" s="1" t="str">
        <f t="shared" si="29"/>
        <v/>
      </c>
      <c r="AG187" s="17"/>
      <c r="AH187" s="17"/>
      <c r="AI187" s="17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8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9" t="str">
        <f t="shared" si="25"/>
        <v/>
      </c>
      <c r="N188" s="17"/>
      <c r="O188" s="27"/>
      <c r="P188" s="27"/>
      <c r="Q188" s="28" t="str">
        <f t="shared" si="26"/>
        <v/>
      </c>
      <c r="R188" s="17"/>
      <c r="S188" s="31" t="str">
        <f t="shared" si="27"/>
        <v/>
      </c>
      <c r="T188" s="21"/>
      <c r="U188" s="21"/>
      <c r="V188" s="17"/>
      <c r="W188" s="17"/>
      <c r="X188" s="17"/>
      <c r="Y188" s="17"/>
      <c r="Z188" s="17"/>
      <c r="AA188" s="17"/>
      <c r="AB188" s="17"/>
      <c r="AC188" s="17"/>
      <c r="AD188" s="17"/>
      <c r="AE188" s="25" t="str">
        <f t="shared" ca="1" si="28"/>
        <v/>
      </c>
      <c r="AF188" s="1" t="str">
        <f t="shared" si="29"/>
        <v/>
      </c>
      <c r="AG188" s="17"/>
      <c r="AH188" s="17"/>
      <c r="AI188" s="17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8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9" t="str">
        <f t="shared" si="25"/>
        <v/>
      </c>
      <c r="N189" s="17"/>
      <c r="O189" s="27"/>
      <c r="P189" s="27"/>
      <c r="Q189" s="28" t="str">
        <f t="shared" si="26"/>
        <v/>
      </c>
      <c r="R189" s="17"/>
      <c r="S189" s="31" t="str">
        <f t="shared" si="27"/>
        <v/>
      </c>
      <c r="T189" s="21"/>
      <c r="U189" s="21"/>
      <c r="V189" s="17"/>
      <c r="W189" s="17"/>
      <c r="X189" s="17"/>
      <c r="Y189" s="17"/>
      <c r="Z189" s="17"/>
      <c r="AA189" s="17"/>
      <c r="AB189" s="17"/>
      <c r="AC189" s="17"/>
      <c r="AD189" s="17"/>
      <c r="AE189" s="25" t="str">
        <f t="shared" ca="1" si="28"/>
        <v/>
      </c>
      <c r="AF189" s="1" t="str">
        <f t="shared" si="29"/>
        <v/>
      </c>
      <c r="AG189" s="17"/>
      <c r="AH189" s="17"/>
      <c r="AI189" s="17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8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9" t="str">
        <f t="shared" si="25"/>
        <v/>
      </c>
      <c r="N190" s="17"/>
      <c r="O190" s="27"/>
      <c r="P190" s="27"/>
      <c r="Q190" s="28" t="str">
        <f t="shared" si="26"/>
        <v/>
      </c>
      <c r="R190" s="17"/>
      <c r="S190" s="31" t="str">
        <f t="shared" si="27"/>
        <v/>
      </c>
      <c r="T190" s="21"/>
      <c r="U190" s="21"/>
      <c r="V190" s="17"/>
      <c r="W190" s="17"/>
      <c r="X190" s="17"/>
      <c r="Y190" s="17"/>
      <c r="Z190" s="17"/>
      <c r="AA190" s="17"/>
      <c r="AB190" s="17"/>
      <c r="AC190" s="17"/>
      <c r="AD190" s="17"/>
      <c r="AE190" s="25" t="str">
        <f t="shared" ca="1" si="28"/>
        <v/>
      </c>
      <c r="AF190" s="1" t="str">
        <f t="shared" si="29"/>
        <v/>
      </c>
      <c r="AG190" s="17"/>
      <c r="AH190" s="17"/>
      <c r="AI190" s="17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8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9" t="str">
        <f t="shared" si="25"/>
        <v/>
      </c>
      <c r="N191" s="17"/>
      <c r="O191" s="27"/>
      <c r="P191" s="27"/>
      <c r="Q191" s="28" t="str">
        <f t="shared" si="26"/>
        <v/>
      </c>
      <c r="R191" s="17"/>
      <c r="S191" s="31" t="str">
        <f t="shared" si="27"/>
        <v/>
      </c>
      <c r="T191" s="21"/>
      <c r="U191" s="21"/>
      <c r="V191" s="17"/>
      <c r="W191" s="17"/>
      <c r="X191" s="17"/>
      <c r="Y191" s="17"/>
      <c r="Z191" s="17"/>
      <c r="AA191" s="17"/>
      <c r="AB191" s="17"/>
      <c r="AC191" s="17"/>
      <c r="AD191" s="17"/>
      <c r="AE191" s="25" t="str">
        <f t="shared" ca="1" si="28"/>
        <v/>
      </c>
      <c r="AF191" s="1" t="str">
        <f t="shared" si="29"/>
        <v/>
      </c>
      <c r="AG191" s="17"/>
      <c r="AH191" s="17"/>
      <c r="AI191" s="17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8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9" t="str">
        <f t="shared" si="25"/>
        <v/>
      </c>
      <c r="N192" s="17"/>
      <c r="O192" s="27"/>
      <c r="P192" s="27"/>
      <c r="Q192" s="28" t="str">
        <f t="shared" si="26"/>
        <v/>
      </c>
      <c r="R192" s="17"/>
      <c r="S192" s="31" t="str">
        <f t="shared" si="27"/>
        <v/>
      </c>
      <c r="T192" s="21"/>
      <c r="U192" s="21"/>
      <c r="V192" s="17"/>
      <c r="W192" s="17"/>
      <c r="X192" s="17"/>
      <c r="Y192" s="17"/>
      <c r="Z192" s="17"/>
      <c r="AA192" s="17"/>
      <c r="AB192" s="17"/>
      <c r="AC192" s="17"/>
      <c r="AD192" s="17"/>
      <c r="AE192" s="25" t="str">
        <f t="shared" ca="1" si="28"/>
        <v/>
      </c>
      <c r="AF192" s="1" t="str">
        <f t="shared" si="29"/>
        <v/>
      </c>
      <c r="AG192" s="17"/>
      <c r="AH192" s="17"/>
      <c r="AI192" s="17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8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9" t="str">
        <f t="shared" si="25"/>
        <v/>
      </c>
      <c r="N193" s="17"/>
      <c r="O193" s="27"/>
      <c r="P193" s="27"/>
      <c r="Q193" s="28" t="str">
        <f t="shared" si="26"/>
        <v/>
      </c>
      <c r="R193" s="17"/>
      <c r="S193" s="31" t="str">
        <f t="shared" si="27"/>
        <v/>
      </c>
      <c r="T193" s="21"/>
      <c r="U193" s="21"/>
      <c r="V193" s="17"/>
      <c r="W193" s="17"/>
      <c r="X193" s="17"/>
      <c r="Y193" s="17"/>
      <c r="Z193" s="17"/>
      <c r="AA193" s="17"/>
      <c r="AB193" s="17"/>
      <c r="AC193" s="17"/>
      <c r="AD193" s="17"/>
      <c r="AE193" s="25" t="str">
        <f t="shared" ca="1" si="28"/>
        <v/>
      </c>
      <c r="AF193" s="1" t="str">
        <f t="shared" si="29"/>
        <v/>
      </c>
      <c r="AG193" s="17"/>
      <c r="AH193" s="17"/>
      <c r="AI193" s="17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8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9" t="str">
        <f t="shared" si="25"/>
        <v/>
      </c>
      <c r="N194" s="17"/>
      <c r="O194" s="27"/>
      <c r="P194" s="27"/>
      <c r="Q194" s="28" t="str">
        <f t="shared" si="26"/>
        <v/>
      </c>
      <c r="R194" s="17"/>
      <c r="S194" s="31" t="str">
        <f t="shared" si="27"/>
        <v/>
      </c>
      <c r="T194" s="21"/>
      <c r="U194" s="21"/>
      <c r="V194" s="17"/>
      <c r="W194" s="17"/>
      <c r="X194" s="17"/>
      <c r="Y194" s="17"/>
      <c r="Z194" s="17"/>
      <c r="AA194" s="17"/>
      <c r="AB194" s="17"/>
      <c r="AC194" s="17"/>
      <c r="AD194" s="17"/>
      <c r="AE194" s="25" t="str">
        <f t="shared" ca="1" si="28"/>
        <v/>
      </c>
      <c r="AF194" s="1" t="str">
        <f t="shared" si="29"/>
        <v/>
      </c>
      <c r="AG194" s="17"/>
      <c r="AH194" s="17"/>
      <c r="AI194" s="17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8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9" t="str">
        <f t="shared" si="25"/>
        <v/>
      </c>
      <c r="N195" s="17"/>
      <c r="O195" s="27"/>
      <c r="P195" s="27"/>
      <c r="Q195" s="28" t="str">
        <f t="shared" si="26"/>
        <v/>
      </c>
      <c r="R195" s="17"/>
      <c r="S195" s="31" t="str">
        <f t="shared" si="27"/>
        <v/>
      </c>
      <c r="T195" s="21"/>
      <c r="U195" s="21"/>
      <c r="V195" s="17"/>
      <c r="W195" s="17"/>
      <c r="X195" s="17"/>
      <c r="Y195" s="17"/>
      <c r="Z195" s="17"/>
      <c r="AA195" s="17"/>
      <c r="AB195" s="17"/>
      <c r="AC195" s="17"/>
      <c r="AD195" s="17"/>
      <c r="AE195" s="25" t="str">
        <f t="shared" ca="1" si="28"/>
        <v/>
      </c>
      <c r="AF195" s="1" t="str">
        <f t="shared" si="29"/>
        <v/>
      </c>
      <c r="AG195" s="17"/>
      <c r="AH195" s="17"/>
      <c r="AI195" s="17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8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9" t="str">
        <f t="shared" si="25"/>
        <v/>
      </c>
      <c r="N196" s="17"/>
      <c r="O196" s="27"/>
      <c r="P196" s="27"/>
      <c r="Q196" s="28" t="str">
        <f t="shared" si="26"/>
        <v/>
      </c>
      <c r="R196" s="17"/>
      <c r="S196" s="31" t="str">
        <f t="shared" si="27"/>
        <v/>
      </c>
      <c r="T196" s="21"/>
      <c r="U196" s="21"/>
      <c r="V196" s="17"/>
      <c r="W196" s="17"/>
      <c r="X196" s="17"/>
      <c r="Y196" s="17"/>
      <c r="Z196" s="17"/>
      <c r="AA196" s="17"/>
      <c r="AB196" s="17"/>
      <c r="AC196" s="17"/>
      <c r="AD196" s="17"/>
      <c r="AE196" s="25" t="str">
        <f t="shared" ca="1" si="28"/>
        <v/>
      </c>
      <c r="AF196" s="1" t="str">
        <f t="shared" si="29"/>
        <v/>
      </c>
      <c r="AG196" s="17"/>
      <c r="AH196" s="17"/>
      <c r="AI196" s="17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8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9" t="str">
        <f t="shared" si="25"/>
        <v/>
      </c>
      <c r="N197" s="17"/>
      <c r="O197" s="27"/>
      <c r="P197" s="27"/>
      <c r="Q197" s="28" t="str">
        <f t="shared" si="26"/>
        <v/>
      </c>
      <c r="R197" s="17"/>
      <c r="S197" s="31" t="str">
        <f t="shared" si="27"/>
        <v/>
      </c>
      <c r="T197" s="21"/>
      <c r="U197" s="21"/>
      <c r="V197" s="17"/>
      <c r="W197" s="17"/>
      <c r="X197" s="17"/>
      <c r="Y197" s="17"/>
      <c r="Z197" s="17"/>
      <c r="AA197" s="17"/>
      <c r="AB197" s="17"/>
      <c r="AC197" s="17"/>
      <c r="AD197" s="17"/>
      <c r="AE197" s="25" t="str">
        <f t="shared" ca="1" si="28"/>
        <v/>
      </c>
      <c r="AF197" s="1" t="str">
        <f t="shared" si="29"/>
        <v/>
      </c>
      <c r="AG197" s="17"/>
      <c r="AH197" s="17"/>
      <c r="AI197" s="17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8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9" t="str">
        <f t="shared" si="25"/>
        <v/>
      </c>
      <c r="N198" s="17"/>
      <c r="O198" s="27"/>
      <c r="P198" s="27"/>
      <c r="Q198" s="28" t="str">
        <f t="shared" si="26"/>
        <v/>
      </c>
      <c r="R198" s="17"/>
      <c r="S198" s="31" t="str">
        <f t="shared" si="27"/>
        <v/>
      </c>
      <c r="T198" s="21"/>
      <c r="U198" s="21"/>
      <c r="V198" s="17"/>
      <c r="W198" s="17"/>
      <c r="X198" s="17"/>
      <c r="Y198" s="17"/>
      <c r="Z198" s="17"/>
      <c r="AA198" s="17"/>
      <c r="AB198" s="17"/>
      <c r="AC198" s="17"/>
      <c r="AD198" s="17"/>
      <c r="AE198" s="25" t="str">
        <f t="shared" ca="1" si="28"/>
        <v/>
      </c>
      <c r="AF198" s="1" t="str">
        <f t="shared" si="29"/>
        <v/>
      </c>
      <c r="AG198" s="17"/>
      <c r="AH198" s="17"/>
      <c r="AI198" s="17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8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9" t="str">
        <f t="shared" ref="M199:M206" si="30">IF(OR(K199="",K199=0,L199=""),"",L199/K199)</f>
        <v/>
      </c>
      <c r="N199" s="17"/>
      <c r="O199" s="27"/>
      <c r="P199" s="27"/>
      <c r="Q199" s="28" t="str">
        <f t="shared" ref="Q199:Q206" si="31">IF(OR(O199="",P199=""),"",O199*P199)</f>
        <v/>
      </c>
      <c r="R199" s="17"/>
      <c r="S199" s="31" t="str">
        <f t="shared" ref="S199:S206" si="32">IF(OR(Q199="",R199=""),"",Q199*IF(R199="Monthly",12,IF(R199="Quarterly",4,IF(R199="Half-Yearly",2,IF(R199="Annual",1,IF(R199="One-time",0,1))))))</f>
        <v/>
      </c>
      <c r="T199" s="21"/>
      <c r="U199" s="21"/>
      <c r="V199" s="17"/>
      <c r="W199" s="17"/>
      <c r="X199" s="17"/>
      <c r="Y199" s="17"/>
      <c r="Z199" s="17"/>
      <c r="AA199" s="17"/>
      <c r="AB199" s="17"/>
      <c r="AC199" s="17"/>
      <c r="AD199" s="17"/>
      <c r="AE199" s="25" t="str">
        <f t="shared" ref="AE199:AE206" ca="1" si="33">IF(U199="","",U199-TODAY())</f>
        <v/>
      </c>
      <c r="AF199" s="1" t="str">
        <f t="shared" ref="AF199:AF206" si="34">IF(U199="","",IF(AD199&lt;&gt;"Active","Inactive",IF(AE199&lt;0,"Expired",IF(AE199&lt;=30,"Due within 30 days",IF(AE199&lt;=60,"Due in 31-60 days",IF(AE199&lt;=90,"Due in 61-90 days","Later"))))))</f>
        <v/>
      </c>
      <c r="AG199" s="17"/>
      <c r="AH199" s="17"/>
      <c r="AI199" s="17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8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9" t="str">
        <f t="shared" si="30"/>
        <v/>
      </c>
      <c r="N200" s="17"/>
      <c r="O200" s="27"/>
      <c r="P200" s="27"/>
      <c r="Q200" s="28" t="str">
        <f t="shared" si="31"/>
        <v/>
      </c>
      <c r="R200" s="17"/>
      <c r="S200" s="31" t="str">
        <f t="shared" si="32"/>
        <v/>
      </c>
      <c r="T200" s="21"/>
      <c r="U200" s="21"/>
      <c r="V200" s="17"/>
      <c r="W200" s="17"/>
      <c r="X200" s="17"/>
      <c r="Y200" s="17"/>
      <c r="Z200" s="17"/>
      <c r="AA200" s="17"/>
      <c r="AB200" s="17"/>
      <c r="AC200" s="17"/>
      <c r="AD200" s="17"/>
      <c r="AE200" s="25" t="str">
        <f t="shared" ca="1" si="33"/>
        <v/>
      </c>
      <c r="AF200" s="1" t="str">
        <f t="shared" si="34"/>
        <v/>
      </c>
      <c r="AG200" s="17"/>
      <c r="AH200" s="17"/>
      <c r="AI200" s="17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8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9" t="str">
        <f t="shared" si="30"/>
        <v/>
      </c>
      <c r="N201" s="17"/>
      <c r="O201" s="27"/>
      <c r="P201" s="27"/>
      <c r="Q201" s="28" t="str">
        <f t="shared" si="31"/>
        <v/>
      </c>
      <c r="R201" s="17"/>
      <c r="S201" s="31" t="str">
        <f t="shared" si="32"/>
        <v/>
      </c>
      <c r="T201" s="21"/>
      <c r="U201" s="21"/>
      <c r="V201" s="17"/>
      <c r="W201" s="17"/>
      <c r="X201" s="17"/>
      <c r="Y201" s="17"/>
      <c r="Z201" s="17"/>
      <c r="AA201" s="17"/>
      <c r="AB201" s="17"/>
      <c r="AC201" s="17"/>
      <c r="AD201" s="17"/>
      <c r="AE201" s="25" t="str">
        <f t="shared" ca="1" si="33"/>
        <v/>
      </c>
      <c r="AF201" s="1" t="str">
        <f t="shared" si="34"/>
        <v/>
      </c>
      <c r="AG201" s="17"/>
      <c r="AH201" s="17"/>
      <c r="AI201" s="17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8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9" t="str">
        <f t="shared" si="30"/>
        <v/>
      </c>
      <c r="N202" s="17"/>
      <c r="O202" s="27"/>
      <c r="P202" s="27"/>
      <c r="Q202" s="28" t="str">
        <f t="shared" si="31"/>
        <v/>
      </c>
      <c r="R202" s="17"/>
      <c r="S202" s="31" t="str">
        <f t="shared" si="32"/>
        <v/>
      </c>
      <c r="T202" s="21"/>
      <c r="U202" s="21"/>
      <c r="V202" s="17"/>
      <c r="W202" s="17"/>
      <c r="X202" s="17"/>
      <c r="Y202" s="17"/>
      <c r="Z202" s="17"/>
      <c r="AA202" s="17"/>
      <c r="AB202" s="17"/>
      <c r="AC202" s="17"/>
      <c r="AD202" s="17"/>
      <c r="AE202" s="25" t="str">
        <f t="shared" ca="1" si="33"/>
        <v/>
      </c>
      <c r="AF202" s="1" t="str">
        <f t="shared" si="34"/>
        <v/>
      </c>
      <c r="AG202" s="17"/>
      <c r="AH202" s="17"/>
      <c r="AI202" s="17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8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9" t="str">
        <f t="shared" si="30"/>
        <v/>
      </c>
      <c r="N203" s="17"/>
      <c r="O203" s="27"/>
      <c r="P203" s="27"/>
      <c r="Q203" s="28" t="str">
        <f t="shared" si="31"/>
        <v/>
      </c>
      <c r="R203" s="17"/>
      <c r="S203" s="31" t="str">
        <f t="shared" si="32"/>
        <v/>
      </c>
      <c r="T203" s="21"/>
      <c r="U203" s="21"/>
      <c r="V203" s="17"/>
      <c r="W203" s="17"/>
      <c r="X203" s="17"/>
      <c r="Y203" s="17"/>
      <c r="Z203" s="17"/>
      <c r="AA203" s="17"/>
      <c r="AB203" s="17"/>
      <c r="AC203" s="17"/>
      <c r="AD203" s="17"/>
      <c r="AE203" s="25" t="str">
        <f t="shared" ca="1" si="33"/>
        <v/>
      </c>
      <c r="AF203" s="1" t="str">
        <f t="shared" si="34"/>
        <v/>
      </c>
      <c r="AG203" s="17"/>
      <c r="AH203" s="17"/>
      <c r="AI203" s="17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8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9" t="str">
        <f t="shared" si="30"/>
        <v/>
      </c>
      <c r="N204" s="17"/>
      <c r="O204" s="27"/>
      <c r="P204" s="27"/>
      <c r="Q204" s="28" t="str">
        <f t="shared" si="31"/>
        <v/>
      </c>
      <c r="R204" s="17"/>
      <c r="S204" s="31" t="str">
        <f t="shared" si="32"/>
        <v/>
      </c>
      <c r="T204" s="21"/>
      <c r="U204" s="21"/>
      <c r="V204" s="17"/>
      <c r="W204" s="17"/>
      <c r="X204" s="17"/>
      <c r="Y204" s="17"/>
      <c r="Z204" s="17"/>
      <c r="AA204" s="17"/>
      <c r="AB204" s="17"/>
      <c r="AC204" s="17"/>
      <c r="AD204" s="17"/>
      <c r="AE204" s="25" t="str">
        <f t="shared" ca="1" si="33"/>
        <v/>
      </c>
      <c r="AF204" s="1" t="str">
        <f t="shared" si="34"/>
        <v/>
      </c>
      <c r="AG204" s="17"/>
      <c r="AH204" s="17"/>
      <c r="AI204" s="17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8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9" t="str">
        <f t="shared" si="30"/>
        <v/>
      </c>
      <c r="N205" s="17"/>
      <c r="O205" s="27"/>
      <c r="P205" s="27"/>
      <c r="Q205" s="28" t="str">
        <f t="shared" si="31"/>
        <v/>
      </c>
      <c r="R205" s="17"/>
      <c r="S205" s="31" t="str">
        <f t="shared" si="32"/>
        <v/>
      </c>
      <c r="T205" s="21"/>
      <c r="U205" s="21"/>
      <c r="V205" s="17"/>
      <c r="W205" s="17"/>
      <c r="X205" s="17"/>
      <c r="Y205" s="17"/>
      <c r="Z205" s="17"/>
      <c r="AA205" s="17"/>
      <c r="AB205" s="17"/>
      <c r="AC205" s="17"/>
      <c r="AD205" s="17"/>
      <c r="AE205" s="25" t="str">
        <f t="shared" ca="1" si="33"/>
        <v/>
      </c>
      <c r="AF205" s="1" t="str">
        <f t="shared" si="34"/>
        <v/>
      </c>
      <c r="AG205" s="17"/>
      <c r="AH205" s="17"/>
      <c r="AI205" s="17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8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20" t="str">
        <f t="shared" si="30"/>
        <v/>
      </c>
      <c r="N206" s="18"/>
      <c r="O206" s="29"/>
      <c r="P206" s="29"/>
      <c r="Q206" s="30" t="str">
        <f t="shared" si="31"/>
        <v/>
      </c>
      <c r="R206" s="18"/>
      <c r="S206" s="32" t="str">
        <f t="shared" si="32"/>
        <v/>
      </c>
      <c r="T206" s="22"/>
      <c r="U206" s="22"/>
      <c r="V206" s="18"/>
      <c r="W206" s="18"/>
      <c r="X206" s="18"/>
      <c r="Y206" s="18"/>
      <c r="Z206" s="18"/>
      <c r="AA206" s="18"/>
      <c r="AB206" s="18"/>
      <c r="AC206" s="18"/>
      <c r="AD206" s="18"/>
      <c r="AE206" s="26" t="str">
        <f t="shared" ca="1" si="33"/>
        <v/>
      </c>
      <c r="AF206" s="16" t="str">
        <f t="shared" si="34"/>
        <v/>
      </c>
      <c r="AG206" s="18"/>
      <c r="AH206" s="18"/>
      <c r="AI206" s="18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</sheetData>
  <conditionalFormatting sqref="M7:M206">
    <cfRule type="cellIs" dxfId="4" priority="3" operator="lessThan">
      <formula>0.5</formula>
    </cfRule>
  </conditionalFormatting>
  <conditionalFormatting sqref="AF7:AF206">
    <cfRule type="containsText" dxfId="3" priority="1" operator="containsText" text="Expired"/>
    <cfRule type="containsText" dxfId="2" priority="2" operator="containsText" text="Due within 30 days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xr:uid="{00000000-0002-0000-0200-000000000000}">
          <x14:formula1>
            <xm:f>Lists!$J$2:$J$10</xm:f>
          </x14:formula1>
          <xm:sqref>C7:C206</xm:sqref>
        </x14:dataValidation>
        <x14:dataValidation type="list" xr:uid="{00000000-0002-0000-0200-000001000000}">
          <x14:formula1>
            <xm:f>Lists!$C$2:$C$10</xm:f>
          </x14:formula1>
          <xm:sqref>I7:I206</xm:sqref>
        </x14:dataValidation>
        <x14:dataValidation type="list" xr:uid="{00000000-0002-0000-0200-000002000000}">
          <x14:formula1>
            <xm:f>Lists!$I$2:$I$7</xm:f>
          </x14:formula1>
          <xm:sqref>N7:N206</xm:sqref>
        </x14:dataValidation>
        <x14:dataValidation type="list" xr:uid="{00000000-0002-0000-0200-000003000000}">
          <x14:formula1>
            <xm:f>Lists!$D$2:$D$6</xm:f>
          </x14:formula1>
          <xm:sqref>R7:R206</xm:sqref>
        </x14:dataValidation>
        <x14:dataValidation type="list" xr:uid="{00000000-0002-0000-0200-000004000000}">
          <x14:formula1>
            <xm:f>Lists!$E$2:$E$3</xm:f>
          </x14:formula1>
          <xm:sqref>V7:V206</xm:sqref>
        </x14:dataValidation>
        <x14:dataValidation type="list" xr:uid="{00000000-0002-0000-0200-000005000000}">
          <x14:formula1>
            <xm:f>Lists!$O$2:$O$6</xm:f>
          </x14:formula1>
          <xm:sqref>W7:W206</xm:sqref>
        </x14:dataValidation>
        <x14:dataValidation type="list" xr:uid="{00000000-0002-0000-0200-000006000000}">
          <x14:formula1>
            <xm:f>Lists!$M$2:$M$4</xm:f>
          </x14:formula1>
          <xm:sqref>AB7:AB206</xm:sqref>
        </x14:dataValidation>
        <x14:dataValidation type="list" xr:uid="{00000000-0002-0000-0200-000007000000}">
          <x14:formula1>
            <xm:f>Lists!$F$2:$F$5</xm:f>
          </x14:formula1>
          <xm:sqref>AC7:AC206</xm:sqref>
        </x14:dataValidation>
        <x14:dataValidation type="list" xr:uid="{00000000-0002-0000-0200-000008000000}">
          <x14:formula1>
            <xm:f>Lists!$A$2:$A$6</xm:f>
          </x14:formula1>
          <xm:sqref>AD7:AD206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183"/>
  </sheetPr>
  <dimension ref="A1:AZ400"/>
  <sheetViews>
    <sheetView showGridLines="0" workbookViewId="0">
      <pane xSplit="2" ySplit="6" topLeftCell="D7" activePane="bottomRight" state="frozen"/>
      <selection pane="topRight"/>
      <selection pane="bottomLeft"/>
      <selection pane="bottomRight" activeCell="C7" sqref="C7"/>
    </sheetView>
  </sheetViews>
  <sheetFormatPr defaultRowHeight="14.25"/>
  <cols>
    <col min="1" max="2" width="16" customWidth="1"/>
    <col min="3" max="3" width="14" customWidth="1"/>
    <col min="4" max="10" width="19" customWidth="1"/>
    <col min="11" max="15" width="18" customWidth="1"/>
    <col min="16" max="18" width="17" customWidth="1"/>
    <col min="19" max="22" width="19" customWidth="1"/>
    <col min="23" max="23" width="30" customWidth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9.5">
      <c r="A2" s="14" t="s">
        <v>119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5" t="s">
        <v>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42" customHeight="1">
      <c r="A6" s="3" t="s">
        <v>120</v>
      </c>
      <c r="B6" s="3" t="s">
        <v>121</v>
      </c>
      <c r="C6" s="3" t="s">
        <v>122</v>
      </c>
      <c r="D6" s="3" t="s">
        <v>72</v>
      </c>
      <c r="E6" s="3" t="s">
        <v>123</v>
      </c>
      <c r="F6" s="3" t="s">
        <v>24</v>
      </c>
      <c r="G6" s="3" t="s">
        <v>124</v>
      </c>
      <c r="H6" s="3" t="s">
        <v>27</v>
      </c>
      <c r="I6" s="3" t="s">
        <v>89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130</v>
      </c>
      <c r="P6" s="3" t="s">
        <v>131</v>
      </c>
      <c r="Q6" s="3" t="s">
        <v>132</v>
      </c>
      <c r="R6" s="3" t="s">
        <v>111</v>
      </c>
      <c r="S6" s="3" t="s">
        <v>133</v>
      </c>
      <c r="T6" s="3" t="s">
        <v>134</v>
      </c>
      <c r="U6" s="3" t="s">
        <v>135</v>
      </c>
      <c r="V6" s="3" t="s">
        <v>136</v>
      </c>
      <c r="W6" s="3" t="s">
        <v>95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8" customHeight="1">
      <c r="A7" s="21"/>
      <c r="B7" s="33" t="str">
        <f t="shared" ref="B7:B70" si="0">IF(A7="","",DATE(YEAR(A7),MONTH(A7),1))</f>
        <v/>
      </c>
      <c r="C7" s="17"/>
      <c r="D7" s="17"/>
      <c r="E7" s="17"/>
      <c r="F7" s="17"/>
      <c r="G7" s="17"/>
      <c r="H7" s="17"/>
      <c r="I7" s="17"/>
      <c r="J7" s="17"/>
      <c r="K7" s="23"/>
      <c r="L7" s="23"/>
      <c r="M7" s="35" t="str">
        <f t="shared" ref="M7:M70" si="1">IF(K7="","",K7+IF(L7="",0,L7))</f>
        <v/>
      </c>
      <c r="N7" s="31"/>
      <c r="O7" s="35" t="str">
        <f t="shared" ref="O7:O70" si="2">IF(M7="","",M7-IF(N7="",0,N7))</f>
        <v/>
      </c>
      <c r="P7" s="21"/>
      <c r="Q7" s="17"/>
      <c r="R7" s="17"/>
      <c r="S7" s="23"/>
      <c r="T7" s="35" t="str">
        <f t="shared" ref="T7:T70" si="3">IF(OR(K7="",S7=""),"",K7-S7)</f>
        <v/>
      </c>
      <c r="U7" s="17"/>
      <c r="V7" s="17"/>
      <c r="W7" s="17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8" customHeight="1">
      <c r="A8" s="21"/>
      <c r="B8" s="33" t="str">
        <f t="shared" si="0"/>
        <v/>
      </c>
      <c r="C8" s="17"/>
      <c r="D8" s="17"/>
      <c r="E8" s="17"/>
      <c r="F8" s="17"/>
      <c r="G8" s="17"/>
      <c r="H8" s="17"/>
      <c r="I8" s="17"/>
      <c r="J8" s="17"/>
      <c r="K8" s="23"/>
      <c r="L8" s="23"/>
      <c r="M8" s="35" t="str">
        <f t="shared" si="1"/>
        <v/>
      </c>
      <c r="N8" s="31"/>
      <c r="O8" s="35" t="str">
        <f t="shared" si="2"/>
        <v/>
      </c>
      <c r="P8" s="21"/>
      <c r="Q8" s="17"/>
      <c r="R8" s="17"/>
      <c r="S8" s="23"/>
      <c r="T8" s="35" t="str">
        <f t="shared" si="3"/>
        <v/>
      </c>
      <c r="U8" s="17"/>
      <c r="V8" s="17"/>
      <c r="W8" s="17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8" customHeight="1">
      <c r="A9" s="21"/>
      <c r="B9" s="33" t="str">
        <f t="shared" si="0"/>
        <v/>
      </c>
      <c r="C9" s="17"/>
      <c r="D9" s="17"/>
      <c r="E9" s="17"/>
      <c r="F9" s="17"/>
      <c r="G9" s="17"/>
      <c r="H9" s="17"/>
      <c r="I9" s="17"/>
      <c r="J9" s="17"/>
      <c r="K9" s="23"/>
      <c r="L9" s="23"/>
      <c r="M9" s="35" t="str">
        <f t="shared" si="1"/>
        <v/>
      </c>
      <c r="N9" s="31"/>
      <c r="O9" s="35" t="str">
        <f t="shared" si="2"/>
        <v/>
      </c>
      <c r="P9" s="21"/>
      <c r="Q9" s="17"/>
      <c r="R9" s="17"/>
      <c r="S9" s="23"/>
      <c r="T9" s="35" t="str">
        <f t="shared" si="3"/>
        <v/>
      </c>
      <c r="U9" s="17"/>
      <c r="V9" s="17"/>
      <c r="W9" s="17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8" customHeight="1">
      <c r="A10" s="21"/>
      <c r="B10" s="33" t="str">
        <f t="shared" si="0"/>
        <v/>
      </c>
      <c r="C10" s="17"/>
      <c r="D10" s="17"/>
      <c r="E10" s="17"/>
      <c r="F10" s="17"/>
      <c r="G10" s="17"/>
      <c r="H10" s="17"/>
      <c r="I10" s="17"/>
      <c r="J10" s="17"/>
      <c r="K10" s="23"/>
      <c r="L10" s="23"/>
      <c r="M10" s="35" t="str">
        <f t="shared" si="1"/>
        <v/>
      </c>
      <c r="N10" s="31"/>
      <c r="O10" s="35" t="str">
        <f t="shared" si="2"/>
        <v/>
      </c>
      <c r="P10" s="21"/>
      <c r="Q10" s="17"/>
      <c r="R10" s="17"/>
      <c r="S10" s="23"/>
      <c r="T10" s="35" t="str">
        <f t="shared" si="3"/>
        <v/>
      </c>
      <c r="U10" s="17"/>
      <c r="V10" s="17"/>
      <c r="W10" s="17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8" customHeight="1">
      <c r="A11" s="21"/>
      <c r="B11" s="33" t="str">
        <f t="shared" si="0"/>
        <v/>
      </c>
      <c r="C11" s="17"/>
      <c r="D11" s="17"/>
      <c r="E11" s="17"/>
      <c r="F11" s="17"/>
      <c r="G11" s="17"/>
      <c r="H11" s="17"/>
      <c r="I11" s="17"/>
      <c r="J11" s="17"/>
      <c r="K11" s="23"/>
      <c r="L11" s="23"/>
      <c r="M11" s="35" t="str">
        <f t="shared" si="1"/>
        <v/>
      </c>
      <c r="N11" s="31"/>
      <c r="O11" s="35" t="str">
        <f t="shared" si="2"/>
        <v/>
      </c>
      <c r="P11" s="21"/>
      <c r="Q11" s="17"/>
      <c r="R11" s="17"/>
      <c r="S11" s="23"/>
      <c r="T11" s="35" t="str">
        <f t="shared" si="3"/>
        <v/>
      </c>
      <c r="U11" s="17"/>
      <c r="V11" s="17"/>
      <c r="W11" s="17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8" customHeight="1">
      <c r="A12" s="21"/>
      <c r="B12" s="33" t="str">
        <f t="shared" si="0"/>
        <v/>
      </c>
      <c r="C12" s="17"/>
      <c r="D12" s="17"/>
      <c r="E12" s="17"/>
      <c r="F12" s="17"/>
      <c r="G12" s="17"/>
      <c r="H12" s="17"/>
      <c r="I12" s="17"/>
      <c r="J12" s="17"/>
      <c r="K12" s="23"/>
      <c r="L12" s="23"/>
      <c r="M12" s="35" t="str">
        <f t="shared" si="1"/>
        <v/>
      </c>
      <c r="N12" s="31"/>
      <c r="O12" s="35" t="str">
        <f t="shared" si="2"/>
        <v/>
      </c>
      <c r="P12" s="21"/>
      <c r="Q12" s="17"/>
      <c r="R12" s="17"/>
      <c r="S12" s="23"/>
      <c r="T12" s="35" t="str">
        <f t="shared" si="3"/>
        <v/>
      </c>
      <c r="U12" s="17"/>
      <c r="V12" s="17"/>
      <c r="W12" s="17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8" customHeight="1">
      <c r="A13" s="21"/>
      <c r="B13" s="33" t="str">
        <f t="shared" si="0"/>
        <v/>
      </c>
      <c r="C13" s="17"/>
      <c r="D13" s="17"/>
      <c r="E13" s="17"/>
      <c r="F13" s="17"/>
      <c r="G13" s="17"/>
      <c r="H13" s="17"/>
      <c r="I13" s="17"/>
      <c r="J13" s="17"/>
      <c r="K13" s="23"/>
      <c r="L13" s="23"/>
      <c r="M13" s="35" t="str">
        <f t="shared" si="1"/>
        <v/>
      </c>
      <c r="N13" s="31"/>
      <c r="O13" s="35" t="str">
        <f t="shared" si="2"/>
        <v/>
      </c>
      <c r="P13" s="21"/>
      <c r="Q13" s="17"/>
      <c r="R13" s="17"/>
      <c r="S13" s="23"/>
      <c r="T13" s="35" t="str">
        <f t="shared" si="3"/>
        <v/>
      </c>
      <c r="U13" s="17"/>
      <c r="V13" s="17"/>
      <c r="W13" s="17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8" customHeight="1">
      <c r="A14" s="21"/>
      <c r="B14" s="33" t="str">
        <f t="shared" si="0"/>
        <v/>
      </c>
      <c r="C14" s="17"/>
      <c r="D14" s="17"/>
      <c r="E14" s="17"/>
      <c r="F14" s="17"/>
      <c r="G14" s="17"/>
      <c r="H14" s="17"/>
      <c r="I14" s="17"/>
      <c r="J14" s="17"/>
      <c r="K14" s="23"/>
      <c r="L14" s="23"/>
      <c r="M14" s="35" t="str">
        <f t="shared" si="1"/>
        <v/>
      </c>
      <c r="N14" s="31"/>
      <c r="O14" s="35" t="str">
        <f t="shared" si="2"/>
        <v/>
      </c>
      <c r="P14" s="21"/>
      <c r="Q14" s="17"/>
      <c r="R14" s="17"/>
      <c r="S14" s="23"/>
      <c r="T14" s="35" t="str">
        <f t="shared" si="3"/>
        <v/>
      </c>
      <c r="U14" s="17"/>
      <c r="V14" s="17"/>
      <c r="W14" s="17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8" customHeight="1">
      <c r="A15" s="21"/>
      <c r="B15" s="33" t="str">
        <f t="shared" si="0"/>
        <v/>
      </c>
      <c r="C15" s="17"/>
      <c r="D15" s="17"/>
      <c r="E15" s="17"/>
      <c r="F15" s="17"/>
      <c r="G15" s="17"/>
      <c r="H15" s="17"/>
      <c r="I15" s="17"/>
      <c r="J15" s="17"/>
      <c r="K15" s="23"/>
      <c r="L15" s="23"/>
      <c r="M15" s="35" t="str">
        <f t="shared" si="1"/>
        <v/>
      </c>
      <c r="N15" s="31"/>
      <c r="O15" s="35" t="str">
        <f t="shared" si="2"/>
        <v/>
      </c>
      <c r="P15" s="21"/>
      <c r="Q15" s="17"/>
      <c r="R15" s="17"/>
      <c r="S15" s="23"/>
      <c r="T15" s="35" t="str">
        <f t="shared" si="3"/>
        <v/>
      </c>
      <c r="U15" s="17"/>
      <c r="V15" s="17"/>
      <c r="W15" s="17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8" customHeight="1">
      <c r="A16" s="21"/>
      <c r="B16" s="33" t="str">
        <f t="shared" si="0"/>
        <v/>
      </c>
      <c r="C16" s="17"/>
      <c r="D16" s="17"/>
      <c r="E16" s="17"/>
      <c r="F16" s="17"/>
      <c r="G16" s="17"/>
      <c r="H16" s="17"/>
      <c r="I16" s="17"/>
      <c r="J16" s="17"/>
      <c r="K16" s="23"/>
      <c r="L16" s="23"/>
      <c r="M16" s="35" t="str">
        <f t="shared" si="1"/>
        <v/>
      </c>
      <c r="N16" s="31"/>
      <c r="O16" s="35" t="str">
        <f t="shared" si="2"/>
        <v/>
      </c>
      <c r="P16" s="21"/>
      <c r="Q16" s="17"/>
      <c r="R16" s="17"/>
      <c r="S16" s="23"/>
      <c r="T16" s="35" t="str">
        <f t="shared" si="3"/>
        <v/>
      </c>
      <c r="U16" s="17"/>
      <c r="V16" s="17"/>
      <c r="W16" s="17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8" customHeight="1">
      <c r="A17" s="21"/>
      <c r="B17" s="33" t="str">
        <f t="shared" si="0"/>
        <v/>
      </c>
      <c r="C17" s="17"/>
      <c r="D17" s="17"/>
      <c r="E17" s="17"/>
      <c r="F17" s="17"/>
      <c r="G17" s="17"/>
      <c r="H17" s="17"/>
      <c r="I17" s="17"/>
      <c r="J17" s="17"/>
      <c r="K17" s="23"/>
      <c r="L17" s="23"/>
      <c r="M17" s="35" t="str">
        <f t="shared" si="1"/>
        <v/>
      </c>
      <c r="N17" s="31"/>
      <c r="O17" s="35" t="str">
        <f t="shared" si="2"/>
        <v/>
      </c>
      <c r="P17" s="21"/>
      <c r="Q17" s="17"/>
      <c r="R17" s="17"/>
      <c r="S17" s="23"/>
      <c r="T17" s="35" t="str">
        <f t="shared" si="3"/>
        <v/>
      </c>
      <c r="U17" s="17"/>
      <c r="V17" s="17"/>
      <c r="W17" s="17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8" customHeight="1">
      <c r="A18" s="21"/>
      <c r="B18" s="33" t="str">
        <f t="shared" si="0"/>
        <v/>
      </c>
      <c r="C18" s="17"/>
      <c r="D18" s="17"/>
      <c r="E18" s="17"/>
      <c r="F18" s="17"/>
      <c r="G18" s="17"/>
      <c r="H18" s="17"/>
      <c r="I18" s="17"/>
      <c r="J18" s="17"/>
      <c r="K18" s="23"/>
      <c r="L18" s="23"/>
      <c r="M18" s="35" t="str">
        <f t="shared" si="1"/>
        <v/>
      </c>
      <c r="N18" s="31"/>
      <c r="O18" s="35" t="str">
        <f t="shared" si="2"/>
        <v/>
      </c>
      <c r="P18" s="21"/>
      <c r="Q18" s="17"/>
      <c r="R18" s="17"/>
      <c r="S18" s="23"/>
      <c r="T18" s="35" t="str">
        <f t="shared" si="3"/>
        <v/>
      </c>
      <c r="U18" s="17"/>
      <c r="V18" s="17"/>
      <c r="W18" s="17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8" customHeight="1">
      <c r="A19" s="21"/>
      <c r="B19" s="33" t="str">
        <f t="shared" si="0"/>
        <v/>
      </c>
      <c r="C19" s="17"/>
      <c r="D19" s="17"/>
      <c r="E19" s="17"/>
      <c r="F19" s="17"/>
      <c r="G19" s="17"/>
      <c r="H19" s="17"/>
      <c r="I19" s="17"/>
      <c r="J19" s="17"/>
      <c r="K19" s="23"/>
      <c r="L19" s="23"/>
      <c r="M19" s="35" t="str">
        <f t="shared" si="1"/>
        <v/>
      </c>
      <c r="N19" s="31"/>
      <c r="O19" s="35" t="str">
        <f t="shared" si="2"/>
        <v/>
      </c>
      <c r="P19" s="21"/>
      <c r="Q19" s="17"/>
      <c r="R19" s="17"/>
      <c r="S19" s="23"/>
      <c r="T19" s="35" t="str">
        <f t="shared" si="3"/>
        <v/>
      </c>
      <c r="U19" s="17"/>
      <c r="V19" s="17"/>
      <c r="W19" s="17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8" customHeight="1">
      <c r="A20" s="21"/>
      <c r="B20" s="33" t="str">
        <f t="shared" si="0"/>
        <v/>
      </c>
      <c r="C20" s="17"/>
      <c r="D20" s="17"/>
      <c r="E20" s="17"/>
      <c r="F20" s="17"/>
      <c r="G20" s="17"/>
      <c r="H20" s="17"/>
      <c r="I20" s="17"/>
      <c r="J20" s="17"/>
      <c r="K20" s="23"/>
      <c r="L20" s="23"/>
      <c r="M20" s="35" t="str">
        <f t="shared" si="1"/>
        <v/>
      </c>
      <c r="N20" s="31"/>
      <c r="O20" s="35" t="str">
        <f t="shared" si="2"/>
        <v/>
      </c>
      <c r="P20" s="21"/>
      <c r="Q20" s="17"/>
      <c r="R20" s="17"/>
      <c r="S20" s="23"/>
      <c r="T20" s="35" t="str">
        <f t="shared" si="3"/>
        <v/>
      </c>
      <c r="U20" s="17"/>
      <c r="V20" s="17"/>
      <c r="W20" s="17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8" customHeight="1">
      <c r="A21" s="21"/>
      <c r="B21" s="33" t="str">
        <f t="shared" si="0"/>
        <v/>
      </c>
      <c r="C21" s="17"/>
      <c r="D21" s="17"/>
      <c r="E21" s="17"/>
      <c r="F21" s="17"/>
      <c r="G21" s="17"/>
      <c r="H21" s="17"/>
      <c r="I21" s="17"/>
      <c r="J21" s="17"/>
      <c r="K21" s="23"/>
      <c r="L21" s="23"/>
      <c r="M21" s="35" t="str">
        <f t="shared" si="1"/>
        <v/>
      </c>
      <c r="N21" s="31"/>
      <c r="O21" s="35" t="str">
        <f t="shared" si="2"/>
        <v/>
      </c>
      <c r="P21" s="21"/>
      <c r="Q21" s="17"/>
      <c r="R21" s="17"/>
      <c r="S21" s="23"/>
      <c r="T21" s="35" t="str">
        <f t="shared" si="3"/>
        <v/>
      </c>
      <c r="U21" s="17"/>
      <c r="V21" s="17"/>
      <c r="W21" s="17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8" customHeight="1">
      <c r="A22" s="21"/>
      <c r="B22" s="33" t="str">
        <f t="shared" si="0"/>
        <v/>
      </c>
      <c r="C22" s="17"/>
      <c r="D22" s="17"/>
      <c r="E22" s="17"/>
      <c r="F22" s="17"/>
      <c r="G22" s="17"/>
      <c r="H22" s="17"/>
      <c r="I22" s="17"/>
      <c r="J22" s="17"/>
      <c r="K22" s="23"/>
      <c r="L22" s="23"/>
      <c r="M22" s="35" t="str">
        <f t="shared" si="1"/>
        <v/>
      </c>
      <c r="N22" s="31"/>
      <c r="O22" s="35" t="str">
        <f t="shared" si="2"/>
        <v/>
      </c>
      <c r="P22" s="21"/>
      <c r="Q22" s="17"/>
      <c r="R22" s="17"/>
      <c r="S22" s="23"/>
      <c r="T22" s="35" t="str">
        <f t="shared" si="3"/>
        <v/>
      </c>
      <c r="U22" s="17"/>
      <c r="V22" s="17"/>
      <c r="W22" s="17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8" customHeight="1">
      <c r="A23" s="21"/>
      <c r="B23" s="33" t="str">
        <f t="shared" si="0"/>
        <v/>
      </c>
      <c r="C23" s="17"/>
      <c r="D23" s="17"/>
      <c r="E23" s="17"/>
      <c r="F23" s="17"/>
      <c r="G23" s="17"/>
      <c r="H23" s="17"/>
      <c r="I23" s="17"/>
      <c r="J23" s="17"/>
      <c r="K23" s="23"/>
      <c r="L23" s="23"/>
      <c r="M23" s="35" t="str">
        <f t="shared" si="1"/>
        <v/>
      </c>
      <c r="N23" s="31"/>
      <c r="O23" s="35" t="str">
        <f t="shared" si="2"/>
        <v/>
      </c>
      <c r="P23" s="21"/>
      <c r="Q23" s="17"/>
      <c r="R23" s="17"/>
      <c r="S23" s="23"/>
      <c r="T23" s="35" t="str">
        <f t="shared" si="3"/>
        <v/>
      </c>
      <c r="U23" s="17"/>
      <c r="V23" s="17"/>
      <c r="W23" s="17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8" customHeight="1">
      <c r="A24" s="21"/>
      <c r="B24" s="33" t="str">
        <f t="shared" si="0"/>
        <v/>
      </c>
      <c r="C24" s="17"/>
      <c r="D24" s="17"/>
      <c r="E24" s="17"/>
      <c r="F24" s="17"/>
      <c r="G24" s="17"/>
      <c r="H24" s="17"/>
      <c r="I24" s="17"/>
      <c r="J24" s="17"/>
      <c r="K24" s="23"/>
      <c r="L24" s="23"/>
      <c r="M24" s="35" t="str">
        <f t="shared" si="1"/>
        <v/>
      </c>
      <c r="N24" s="31"/>
      <c r="O24" s="35" t="str">
        <f t="shared" si="2"/>
        <v/>
      </c>
      <c r="P24" s="21"/>
      <c r="Q24" s="17"/>
      <c r="R24" s="17"/>
      <c r="S24" s="23"/>
      <c r="T24" s="35" t="str">
        <f t="shared" si="3"/>
        <v/>
      </c>
      <c r="U24" s="17"/>
      <c r="V24" s="17"/>
      <c r="W24" s="17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8" customHeight="1">
      <c r="A25" s="21"/>
      <c r="B25" s="33" t="str">
        <f t="shared" si="0"/>
        <v/>
      </c>
      <c r="C25" s="17"/>
      <c r="D25" s="17"/>
      <c r="E25" s="17"/>
      <c r="F25" s="17"/>
      <c r="G25" s="17"/>
      <c r="H25" s="17"/>
      <c r="I25" s="17"/>
      <c r="J25" s="17"/>
      <c r="K25" s="23"/>
      <c r="L25" s="23"/>
      <c r="M25" s="35" t="str">
        <f t="shared" si="1"/>
        <v/>
      </c>
      <c r="N25" s="31"/>
      <c r="O25" s="35" t="str">
        <f t="shared" si="2"/>
        <v/>
      </c>
      <c r="P25" s="21"/>
      <c r="Q25" s="17"/>
      <c r="R25" s="17"/>
      <c r="S25" s="23"/>
      <c r="T25" s="35" t="str">
        <f t="shared" si="3"/>
        <v/>
      </c>
      <c r="U25" s="17"/>
      <c r="V25" s="17"/>
      <c r="W25" s="17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8" customHeight="1">
      <c r="A26" s="21"/>
      <c r="B26" s="33" t="str">
        <f t="shared" si="0"/>
        <v/>
      </c>
      <c r="C26" s="17"/>
      <c r="D26" s="17"/>
      <c r="E26" s="17"/>
      <c r="F26" s="17"/>
      <c r="G26" s="17"/>
      <c r="H26" s="17"/>
      <c r="I26" s="17"/>
      <c r="J26" s="17"/>
      <c r="K26" s="23"/>
      <c r="L26" s="23"/>
      <c r="M26" s="35" t="str">
        <f t="shared" si="1"/>
        <v/>
      </c>
      <c r="N26" s="31"/>
      <c r="O26" s="35" t="str">
        <f t="shared" si="2"/>
        <v/>
      </c>
      <c r="P26" s="21"/>
      <c r="Q26" s="17"/>
      <c r="R26" s="17"/>
      <c r="S26" s="23"/>
      <c r="T26" s="35" t="str">
        <f t="shared" si="3"/>
        <v/>
      </c>
      <c r="U26" s="17"/>
      <c r="V26" s="17"/>
      <c r="W26" s="17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8" customHeight="1">
      <c r="A27" s="21"/>
      <c r="B27" s="33" t="str">
        <f t="shared" si="0"/>
        <v/>
      </c>
      <c r="C27" s="17"/>
      <c r="D27" s="17"/>
      <c r="E27" s="17"/>
      <c r="F27" s="17"/>
      <c r="G27" s="17"/>
      <c r="H27" s="17"/>
      <c r="I27" s="17"/>
      <c r="J27" s="17"/>
      <c r="K27" s="23"/>
      <c r="L27" s="23"/>
      <c r="M27" s="35" t="str">
        <f t="shared" si="1"/>
        <v/>
      </c>
      <c r="N27" s="31"/>
      <c r="O27" s="35" t="str">
        <f t="shared" si="2"/>
        <v/>
      </c>
      <c r="P27" s="21"/>
      <c r="Q27" s="17"/>
      <c r="R27" s="17"/>
      <c r="S27" s="23"/>
      <c r="T27" s="35" t="str">
        <f t="shared" si="3"/>
        <v/>
      </c>
      <c r="U27" s="17"/>
      <c r="V27" s="17"/>
      <c r="W27" s="17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8" customHeight="1">
      <c r="A28" s="21"/>
      <c r="B28" s="33" t="str">
        <f t="shared" si="0"/>
        <v/>
      </c>
      <c r="C28" s="17"/>
      <c r="D28" s="17"/>
      <c r="E28" s="17"/>
      <c r="F28" s="17"/>
      <c r="G28" s="17"/>
      <c r="H28" s="17"/>
      <c r="I28" s="17"/>
      <c r="J28" s="17"/>
      <c r="K28" s="23"/>
      <c r="L28" s="23"/>
      <c r="M28" s="35" t="str">
        <f t="shared" si="1"/>
        <v/>
      </c>
      <c r="N28" s="31"/>
      <c r="O28" s="35" t="str">
        <f t="shared" si="2"/>
        <v/>
      </c>
      <c r="P28" s="21"/>
      <c r="Q28" s="17"/>
      <c r="R28" s="17"/>
      <c r="S28" s="23"/>
      <c r="T28" s="35" t="str">
        <f t="shared" si="3"/>
        <v/>
      </c>
      <c r="U28" s="17"/>
      <c r="V28" s="17"/>
      <c r="W28" s="17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8" customHeight="1">
      <c r="A29" s="21"/>
      <c r="B29" s="33" t="str">
        <f t="shared" si="0"/>
        <v/>
      </c>
      <c r="C29" s="17"/>
      <c r="D29" s="17"/>
      <c r="E29" s="17"/>
      <c r="F29" s="17"/>
      <c r="G29" s="17"/>
      <c r="H29" s="17"/>
      <c r="I29" s="17"/>
      <c r="J29" s="17"/>
      <c r="K29" s="23"/>
      <c r="L29" s="23"/>
      <c r="M29" s="35" t="str">
        <f t="shared" si="1"/>
        <v/>
      </c>
      <c r="N29" s="31"/>
      <c r="O29" s="35" t="str">
        <f t="shared" si="2"/>
        <v/>
      </c>
      <c r="P29" s="21"/>
      <c r="Q29" s="17"/>
      <c r="R29" s="17"/>
      <c r="S29" s="23"/>
      <c r="T29" s="35" t="str">
        <f t="shared" si="3"/>
        <v/>
      </c>
      <c r="U29" s="17"/>
      <c r="V29" s="17"/>
      <c r="W29" s="17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8" customHeight="1">
      <c r="A30" s="21"/>
      <c r="B30" s="33" t="str">
        <f t="shared" si="0"/>
        <v/>
      </c>
      <c r="C30" s="17"/>
      <c r="D30" s="17"/>
      <c r="E30" s="17"/>
      <c r="F30" s="17"/>
      <c r="G30" s="17"/>
      <c r="H30" s="17"/>
      <c r="I30" s="17"/>
      <c r="J30" s="17"/>
      <c r="K30" s="23"/>
      <c r="L30" s="23"/>
      <c r="M30" s="35" t="str">
        <f t="shared" si="1"/>
        <v/>
      </c>
      <c r="N30" s="31"/>
      <c r="O30" s="35" t="str">
        <f t="shared" si="2"/>
        <v/>
      </c>
      <c r="P30" s="21"/>
      <c r="Q30" s="17"/>
      <c r="R30" s="17"/>
      <c r="S30" s="23"/>
      <c r="T30" s="35" t="str">
        <f t="shared" si="3"/>
        <v/>
      </c>
      <c r="U30" s="17"/>
      <c r="V30" s="17"/>
      <c r="W30" s="17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8" customHeight="1">
      <c r="A31" s="21"/>
      <c r="B31" s="33" t="str">
        <f t="shared" si="0"/>
        <v/>
      </c>
      <c r="C31" s="17"/>
      <c r="D31" s="17"/>
      <c r="E31" s="17"/>
      <c r="F31" s="17"/>
      <c r="G31" s="17"/>
      <c r="H31" s="17"/>
      <c r="I31" s="17"/>
      <c r="J31" s="17"/>
      <c r="K31" s="23"/>
      <c r="L31" s="23"/>
      <c r="M31" s="35" t="str">
        <f t="shared" si="1"/>
        <v/>
      </c>
      <c r="N31" s="31"/>
      <c r="O31" s="35" t="str">
        <f t="shared" si="2"/>
        <v/>
      </c>
      <c r="P31" s="21"/>
      <c r="Q31" s="17"/>
      <c r="R31" s="17"/>
      <c r="S31" s="23"/>
      <c r="T31" s="35" t="str">
        <f t="shared" si="3"/>
        <v/>
      </c>
      <c r="U31" s="17"/>
      <c r="V31" s="17"/>
      <c r="W31" s="17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8" customHeight="1">
      <c r="A32" s="21"/>
      <c r="B32" s="33" t="str">
        <f t="shared" si="0"/>
        <v/>
      </c>
      <c r="C32" s="17"/>
      <c r="D32" s="17"/>
      <c r="E32" s="17"/>
      <c r="F32" s="17"/>
      <c r="G32" s="17"/>
      <c r="H32" s="17"/>
      <c r="I32" s="17"/>
      <c r="J32" s="17"/>
      <c r="K32" s="23"/>
      <c r="L32" s="23"/>
      <c r="M32" s="35" t="str">
        <f t="shared" si="1"/>
        <v/>
      </c>
      <c r="N32" s="31"/>
      <c r="O32" s="35" t="str">
        <f t="shared" si="2"/>
        <v/>
      </c>
      <c r="P32" s="21"/>
      <c r="Q32" s="17"/>
      <c r="R32" s="17"/>
      <c r="S32" s="23"/>
      <c r="T32" s="35" t="str">
        <f t="shared" si="3"/>
        <v/>
      </c>
      <c r="U32" s="17"/>
      <c r="V32" s="17"/>
      <c r="W32" s="17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8" customHeight="1">
      <c r="A33" s="21"/>
      <c r="B33" s="33" t="str">
        <f t="shared" si="0"/>
        <v/>
      </c>
      <c r="C33" s="17"/>
      <c r="D33" s="17"/>
      <c r="E33" s="17"/>
      <c r="F33" s="17"/>
      <c r="G33" s="17"/>
      <c r="H33" s="17"/>
      <c r="I33" s="17"/>
      <c r="J33" s="17"/>
      <c r="K33" s="23"/>
      <c r="L33" s="23"/>
      <c r="M33" s="35" t="str">
        <f t="shared" si="1"/>
        <v/>
      </c>
      <c r="N33" s="31"/>
      <c r="O33" s="35" t="str">
        <f t="shared" si="2"/>
        <v/>
      </c>
      <c r="P33" s="21"/>
      <c r="Q33" s="17"/>
      <c r="R33" s="17"/>
      <c r="S33" s="23"/>
      <c r="T33" s="35" t="str">
        <f t="shared" si="3"/>
        <v/>
      </c>
      <c r="U33" s="17"/>
      <c r="V33" s="17"/>
      <c r="W33" s="17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8" customHeight="1">
      <c r="A34" s="21"/>
      <c r="B34" s="33" t="str">
        <f t="shared" si="0"/>
        <v/>
      </c>
      <c r="C34" s="17"/>
      <c r="D34" s="17"/>
      <c r="E34" s="17"/>
      <c r="F34" s="17"/>
      <c r="G34" s="17"/>
      <c r="H34" s="17"/>
      <c r="I34" s="17"/>
      <c r="J34" s="17"/>
      <c r="K34" s="23"/>
      <c r="L34" s="23"/>
      <c r="M34" s="35" t="str">
        <f t="shared" si="1"/>
        <v/>
      </c>
      <c r="N34" s="31"/>
      <c r="O34" s="35" t="str">
        <f t="shared" si="2"/>
        <v/>
      </c>
      <c r="P34" s="21"/>
      <c r="Q34" s="17"/>
      <c r="R34" s="17"/>
      <c r="S34" s="23"/>
      <c r="T34" s="35" t="str">
        <f t="shared" si="3"/>
        <v/>
      </c>
      <c r="U34" s="17"/>
      <c r="V34" s="17"/>
      <c r="W34" s="17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8" customHeight="1">
      <c r="A35" s="21"/>
      <c r="B35" s="33" t="str">
        <f t="shared" si="0"/>
        <v/>
      </c>
      <c r="C35" s="17"/>
      <c r="D35" s="17"/>
      <c r="E35" s="17"/>
      <c r="F35" s="17"/>
      <c r="G35" s="17"/>
      <c r="H35" s="17"/>
      <c r="I35" s="17"/>
      <c r="J35" s="17"/>
      <c r="K35" s="23"/>
      <c r="L35" s="23"/>
      <c r="M35" s="35" t="str">
        <f t="shared" si="1"/>
        <v/>
      </c>
      <c r="N35" s="31"/>
      <c r="O35" s="35" t="str">
        <f t="shared" si="2"/>
        <v/>
      </c>
      <c r="P35" s="21"/>
      <c r="Q35" s="17"/>
      <c r="R35" s="17"/>
      <c r="S35" s="23"/>
      <c r="T35" s="35" t="str">
        <f t="shared" si="3"/>
        <v/>
      </c>
      <c r="U35" s="17"/>
      <c r="V35" s="17"/>
      <c r="W35" s="17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8" customHeight="1">
      <c r="A36" s="21"/>
      <c r="B36" s="33" t="str">
        <f t="shared" si="0"/>
        <v/>
      </c>
      <c r="C36" s="17"/>
      <c r="D36" s="17"/>
      <c r="E36" s="17"/>
      <c r="F36" s="17"/>
      <c r="G36" s="17"/>
      <c r="H36" s="17"/>
      <c r="I36" s="17"/>
      <c r="J36" s="17"/>
      <c r="K36" s="23"/>
      <c r="L36" s="23"/>
      <c r="M36" s="35" t="str">
        <f t="shared" si="1"/>
        <v/>
      </c>
      <c r="N36" s="31"/>
      <c r="O36" s="35" t="str">
        <f t="shared" si="2"/>
        <v/>
      </c>
      <c r="P36" s="21"/>
      <c r="Q36" s="17"/>
      <c r="R36" s="17"/>
      <c r="S36" s="23"/>
      <c r="T36" s="35" t="str">
        <f t="shared" si="3"/>
        <v/>
      </c>
      <c r="U36" s="17"/>
      <c r="V36" s="17"/>
      <c r="W36" s="17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8" customHeight="1">
      <c r="A37" s="21"/>
      <c r="B37" s="33" t="str">
        <f t="shared" si="0"/>
        <v/>
      </c>
      <c r="C37" s="17"/>
      <c r="D37" s="17"/>
      <c r="E37" s="17"/>
      <c r="F37" s="17"/>
      <c r="G37" s="17"/>
      <c r="H37" s="17"/>
      <c r="I37" s="17"/>
      <c r="J37" s="17"/>
      <c r="K37" s="23"/>
      <c r="L37" s="23"/>
      <c r="M37" s="35" t="str">
        <f t="shared" si="1"/>
        <v/>
      </c>
      <c r="N37" s="31"/>
      <c r="O37" s="35" t="str">
        <f t="shared" si="2"/>
        <v/>
      </c>
      <c r="P37" s="21"/>
      <c r="Q37" s="17"/>
      <c r="R37" s="17"/>
      <c r="S37" s="23"/>
      <c r="T37" s="35" t="str">
        <f t="shared" si="3"/>
        <v/>
      </c>
      <c r="U37" s="17"/>
      <c r="V37" s="17"/>
      <c r="W37" s="17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8" customHeight="1">
      <c r="A38" s="21"/>
      <c r="B38" s="33" t="str">
        <f t="shared" si="0"/>
        <v/>
      </c>
      <c r="C38" s="17"/>
      <c r="D38" s="17"/>
      <c r="E38" s="17"/>
      <c r="F38" s="17"/>
      <c r="G38" s="17"/>
      <c r="H38" s="17"/>
      <c r="I38" s="17"/>
      <c r="J38" s="17"/>
      <c r="K38" s="23"/>
      <c r="L38" s="23"/>
      <c r="M38" s="35" t="str">
        <f t="shared" si="1"/>
        <v/>
      </c>
      <c r="N38" s="31"/>
      <c r="O38" s="35" t="str">
        <f t="shared" si="2"/>
        <v/>
      </c>
      <c r="P38" s="21"/>
      <c r="Q38" s="17"/>
      <c r="R38" s="17"/>
      <c r="S38" s="23"/>
      <c r="T38" s="35" t="str">
        <f t="shared" si="3"/>
        <v/>
      </c>
      <c r="U38" s="17"/>
      <c r="V38" s="17"/>
      <c r="W38" s="17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8" customHeight="1">
      <c r="A39" s="21"/>
      <c r="B39" s="33" t="str">
        <f t="shared" si="0"/>
        <v/>
      </c>
      <c r="C39" s="17"/>
      <c r="D39" s="17"/>
      <c r="E39" s="17"/>
      <c r="F39" s="17"/>
      <c r="G39" s="17"/>
      <c r="H39" s="17"/>
      <c r="I39" s="17"/>
      <c r="J39" s="17"/>
      <c r="K39" s="23"/>
      <c r="L39" s="23"/>
      <c r="M39" s="35" t="str">
        <f t="shared" si="1"/>
        <v/>
      </c>
      <c r="N39" s="31"/>
      <c r="O39" s="35" t="str">
        <f t="shared" si="2"/>
        <v/>
      </c>
      <c r="P39" s="21"/>
      <c r="Q39" s="17"/>
      <c r="R39" s="17"/>
      <c r="S39" s="23"/>
      <c r="T39" s="35" t="str">
        <f t="shared" si="3"/>
        <v/>
      </c>
      <c r="U39" s="17"/>
      <c r="V39" s="17"/>
      <c r="W39" s="17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8" customHeight="1">
      <c r="A40" s="21"/>
      <c r="B40" s="33" t="str">
        <f t="shared" si="0"/>
        <v/>
      </c>
      <c r="C40" s="17"/>
      <c r="D40" s="17"/>
      <c r="E40" s="17"/>
      <c r="F40" s="17"/>
      <c r="G40" s="17"/>
      <c r="H40" s="17"/>
      <c r="I40" s="17"/>
      <c r="J40" s="17"/>
      <c r="K40" s="23"/>
      <c r="L40" s="23"/>
      <c r="M40" s="35" t="str">
        <f t="shared" si="1"/>
        <v/>
      </c>
      <c r="N40" s="31"/>
      <c r="O40" s="35" t="str">
        <f t="shared" si="2"/>
        <v/>
      </c>
      <c r="P40" s="21"/>
      <c r="Q40" s="17"/>
      <c r="R40" s="17"/>
      <c r="S40" s="23"/>
      <c r="T40" s="35" t="str">
        <f t="shared" si="3"/>
        <v/>
      </c>
      <c r="U40" s="17"/>
      <c r="V40" s="17"/>
      <c r="W40" s="17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8" customHeight="1">
      <c r="A41" s="21"/>
      <c r="B41" s="33" t="str">
        <f t="shared" si="0"/>
        <v/>
      </c>
      <c r="C41" s="17"/>
      <c r="D41" s="17"/>
      <c r="E41" s="17"/>
      <c r="F41" s="17"/>
      <c r="G41" s="17"/>
      <c r="H41" s="17"/>
      <c r="I41" s="17"/>
      <c r="J41" s="17"/>
      <c r="K41" s="23"/>
      <c r="L41" s="23"/>
      <c r="M41" s="35" t="str">
        <f t="shared" si="1"/>
        <v/>
      </c>
      <c r="N41" s="31"/>
      <c r="O41" s="35" t="str">
        <f t="shared" si="2"/>
        <v/>
      </c>
      <c r="P41" s="21"/>
      <c r="Q41" s="17"/>
      <c r="R41" s="17"/>
      <c r="S41" s="23"/>
      <c r="T41" s="35" t="str">
        <f t="shared" si="3"/>
        <v/>
      </c>
      <c r="U41" s="17"/>
      <c r="V41" s="17"/>
      <c r="W41" s="17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8" customHeight="1">
      <c r="A42" s="21"/>
      <c r="B42" s="33" t="str">
        <f t="shared" si="0"/>
        <v/>
      </c>
      <c r="C42" s="17"/>
      <c r="D42" s="17"/>
      <c r="E42" s="17"/>
      <c r="F42" s="17"/>
      <c r="G42" s="17"/>
      <c r="H42" s="17"/>
      <c r="I42" s="17"/>
      <c r="J42" s="17"/>
      <c r="K42" s="23"/>
      <c r="L42" s="23"/>
      <c r="M42" s="35" t="str">
        <f t="shared" si="1"/>
        <v/>
      </c>
      <c r="N42" s="31"/>
      <c r="O42" s="35" t="str">
        <f t="shared" si="2"/>
        <v/>
      </c>
      <c r="P42" s="21"/>
      <c r="Q42" s="17"/>
      <c r="R42" s="17"/>
      <c r="S42" s="23"/>
      <c r="T42" s="35" t="str">
        <f t="shared" si="3"/>
        <v/>
      </c>
      <c r="U42" s="17"/>
      <c r="V42" s="17"/>
      <c r="W42" s="17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8" customHeight="1">
      <c r="A43" s="21"/>
      <c r="B43" s="33" t="str">
        <f t="shared" si="0"/>
        <v/>
      </c>
      <c r="C43" s="17"/>
      <c r="D43" s="17"/>
      <c r="E43" s="17"/>
      <c r="F43" s="17"/>
      <c r="G43" s="17"/>
      <c r="H43" s="17"/>
      <c r="I43" s="17"/>
      <c r="J43" s="17"/>
      <c r="K43" s="23"/>
      <c r="L43" s="23"/>
      <c r="M43" s="35" t="str">
        <f t="shared" si="1"/>
        <v/>
      </c>
      <c r="N43" s="31"/>
      <c r="O43" s="35" t="str">
        <f t="shared" si="2"/>
        <v/>
      </c>
      <c r="P43" s="21"/>
      <c r="Q43" s="17"/>
      <c r="R43" s="17"/>
      <c r="S43" s="23"/>
      <c r="T43" s="35" t="str">
        <f t="shared" si="3"/>
        <v/>
      </c>
      <c r="U43" s="17"/>
      <c r="V43" s="17"/>
      <c r="W43" s="17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8" customHeight="1">
      <c r="A44" s="21"/>
      <c r="B44" s="33" t="str">
        <f t="shared" si="0"/>
        <v/>
      </c>
      <c r="C44" s="17"/>
      <c r="D44" s="17"/>
      <c r="E44" s="17"/>
      <c r="F44" s="17"/>
      <c r="G44" s="17"/>
      <c r="H44" s="17"/>
      <c r="I44" s="17"/>
      <c r="J44" s="17"/>
      <c r="K44" s="23"/>
      <c r="L44" s="23"/>
      <c r="M44" s="35" t="str">
        <f t="shared" si="1"/>
        <v/>
      </c>
      <c r="N44" s="31"/>
      <c r="O44" s="35" t="str">
        <f t="shared" si="2"/>
        <v/>
      </c>
      <c r="P44" s="21"/>
      <c r="Q44" s="17"/>
      <c r="R44" s="17"/>
      <c r="S44" s="23"/>
      <c r="T44" s="35" t="str">
        <f t="shared" si="3"/>
        <v/>
      </c>
      <c r="U44" s="17"/>
      <c r="V44" s="17"/>
      <c r="W44" s="17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8" customHeight="1">
      <c r="A45" s="21"/>
      <c r="B45" s="33" t="str">
        <f t="shared" si="0"/>
        <v/>
      </c>
      <c r="C45" s="17"/>
      <c r="D45" s="17"/>
      <c r="E45" s="17"/>
      <c r="F45" s="17"/>
      <c r="G45" s="17"/>
      <c r="H45" s="17"/>
      <c r="I45" s="17"/>
      <c r="J45" s="17"/>
      <c r="K45" s="23"/>
      <c r="L45" s="23"/>
      <c r="M45" s="35" t="str">
        <f t="shared" si="1"/>
        <v/>
      </c>
      <c r="N45" s="31"/>
      <c r="O45" s="35" t="str">
        <f t="shared" si="2"/>
        <v/>
      </c>
      <c r="P45" s="21"/>
      <c r="Q45" s="17"/>
      <c r="R45" s="17"/>
      <c r="S45" s="23"/>
      <c r="T45" s="35" t="str">
        <f t="shared" si="3"/>
        <v/>
      </c>
      <c r="U45" s="17"/>
      <c r="V45" s="17"/>
      <c r="W45" s="17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8" customHeight="1">
      <c r="A46" s="21"/>
      <c r="B46" s="33" t="str">
        <f t="shared" si="0"/>
        <v/>
      </c>
      <c r="C46" s="17"/>
      <c r="D46" s="17"/>
      <c r="E46" s="17"/>
      <c r="F46" s="17"/>
      <c r="G46" s="17"/>
      <c r="H46" s="17"/>
      <c r="I46" s="17"/>
      <c r="J46" s="17"/>
      <c r="K46" s="23"/>
      <c r="L46" s="23"/>
      <c r="M46" s="35" t="str">
        <f t="shared" si="1"/>
        <v/>
      </c>
      <c r="N46" s="31"/>
      <c r="O46" s="35" t="str">
        <f t="shared" si="2"/>
        <v/>
      </c>
      <c r="P46" s="21"/>
      <c r="Q46" s="17"/>
      <c r="R46" s="17"/>
      <c r="S46" s="23"/>
      <c r="T46" s="35" t="str">
        <f t="shared" si="3"/>
        <v/>
      </c>
      <c r="U46" s="17"/>
      <c r="V46" s="17"/>
      <c r="W46" s="17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8" customHeight="1">
      <c r="A47" s="21"/>
      <c r="B47" s="33" t="str">
        <f t="shared" si="0"/>
        <v/>
      </c>
      <c r="C47" s="17"/>
      <c r="D47" s="17"/>
      <c r="E47" s="17"/>
      <c r="F47" s="17"/>
      <c r="G47" s="17"/>
      <c r="H47" s="17"/>
      <c r="I47" s="17"/>
      <c r="J47" s="17"/>
      <c r="K47" s="23"/>
      <c r="L47" s="23"/>
      <c r="M47" s="35" t="str">
        <f t="shared" si="1"/>
        <v/>
      </c>
      <c r="N47" s="31"/>
      <c r="O47" s="35" t="str">
        <f t="shared" si="2"/>
        <v/>
      </c>
      <c r="P47" s="21"/>
      <c r="Q47" s="17"/>
      <c r="R47" s="17"/>
      <c r="S47" s="23"/>
      <c r="T47" s="35" t="str">
        <f t="shared" si="3"/>
        <v/>
      </c>
      <c r="U47" s="17"/>
      <c r="V47" s="17"/>
      <c r="W47" s="17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8" customHeight="1">
      <c r="A48" s="21"/>
      <c r="B48" s="33" t="str">
        <f t="shared" si="0"/>
        <v/>
      </c>
      <c r="C48" s="17"/>
      <c r="D48" s="17"/>
      <c r="E48" s="17"/>
      <c r="F48" s="17"/>
      <c r="G48" s="17"/>
      <c r="H48" s="17"/>
      <c r="I48" s="17"/>
      <c r="J48" s="17"/>
      <c r="K48" s="23"/>
      <c r="L48" s="23"/>
      <c r="M48" s="35" t="str">
        <f t="shared" si="1"/>
        <v/>
      </c>
      <c r="N48" s="31"/>
      <c r="O48" s="35" t="str">
        <f t="shared" si="2"/>
        <v/>
      </c>
      <c r="P48" s="21"/>
      <c r="Q48" s="17"/>
      <c r="R48" s="17"/>
      <c r="S48" s="23"/>
      <c r="T48" s="35" t="str">
        <f t="shared" si="3"/>
        <v/>
      </c>
      <c r="U48" s="17"/>
      <c r="V48" s="17"/>
      <c r="W48" s="17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8" customHeight="1">
      <c r="A49" s="21"/>
      <c r="B49" s="33" t="str">
        <f t="shared" si="0"/>
        <v/>
      </c>
      <c r="C49" s="17"/>
      <c r="D49" s="17"/>
      <c r="E49" s="17"/>
      <c r="F49" s="17"/>
      <c r="G49" s="17"/>
      <c r="H49" s="17"/>
      <c r="I49" s="17"/>
      <c r="J49" s="17"/>
      <c r="K49" s="23"/>
      <c r="L49" s="23"/>
      <c r="M49" s="35" t="str">
        <f t="shared" si="1"/>
        <v/>
      </c>
      <c r="N49" s="31"/>
      <c r="O49" s="35" t="str">
        <f t="shared" si="2"/>
        <v/>
      </c>
      <c r="P49" s="21"/>
      <c r="Q49" s="17"/>
      <c r="R49" s="17"/>
      <c r="S49" s="23"/>
      <c r="T49" s="35" t="str">
        <f t="shared" si="3"/>
        <v/>
      </c>
      <c r="U49" s="17"/>
      <c r="V49" s="17"/>
      <c r="W49" s="17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8" customHeight="1">
      <c r="A50" s="21"/>
      <c r="B50" s="33" t="str">
        <f t="shared" si="0"/>
        <v/>
      </c>
      <c r="C50" s="17"/>
      <c r="D50" s="17"/>
      <c r="E50" s="17"/>
      <c r="F50" s="17"/>
      <c r="G50" s="17"/>
      <c r="H50" s="17"/>
      <c r="I50" s="17"/>
      <c r="J50" s="17"/>
      <c r="K50" s="23"/>
      <c r="L50" s="23"/>
      <c r="M50" s="35" t="str">
        <f t="shared" si="1"/>
        <v/>
      </c>
      <c r="N50" s="31"/>
      <c r="O50" s="35" t="str">
        <f t="shared" si="2"/>
        <v/>
      </c>
      <c r="P50" s="21"/>
      <c r="Q50" s="17"/>
      <c r="R50" s="17"/>
      <c r="S50" s="23"/>
      <c r="T50" s="35" t="str">
        <f t="shared" si="3"/>
        <v/>
      </c>
      <c r="U50" s="17"/>
      <c r="V50" s="17"/>
      <c r="W50" s="17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8" customHeight="1">
      <c r="A51" s="21"/>
      <c r="B51" s="33" t="str">
        <f t="shared" si="0"/>
        <v/>
      </c>
      <c r="C51" s="17"/>
      <c r="D51" s="17"/>
      <c r="E51" s="17"/>
      <c r="F51" s="17"/>
      <c r="G51" s="17"/>
      <c r="H51" s="17"/>
      <c r="I51" s="17"/>
      <c r="J51" s="17"/>
      <c r="K51" s="23"/>
      <c r="L51" s="23"/>
      <c r="M51" s="35" t="str">
        <f t="shared" si="1"/>
        <v/>
      </c>
      <c r="N51" s="31"/>
      <c r="O51" s="35" t="str">
        <f t="shared" si="2"/>
        <v/>
      </c>
      <c r="P51" s="21"/>
      <c r="Q51" s="17"/>
      <c r="R51" s="17"/>
      <c r="S51" s="23"/>
      <c r="T51" s="35" t="str">
        <f t="shared" si="3"/>
        <v/>
      </c>
      <c r="U51" s="17"/>
      <c r="V51" s="17"/>
      <c r="W51" s="17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8" customHeight="1">
      <c r="A52" s="21"/>
      <c r="B52" s="33" t="str">
        <f t="shared" si="0"/>
        <v/>
      </c>
      <c r="C52" s="17"/>
      <c r="D52" s="17"/>
      <c r="E52" s="17"/>
      <c r="F52" s="17"/>
      <c r="G52" s="17"/>
      <c r="H52" s="17"/>
      <c r="I52" s="17"/>
      <c r="J52" s="17"/>
      <c r="K52" s="23"/>
      <c r="L52" s="23"/>
      <c r="M52" s="35" t="str">
        <f t="shared" si="1"/>
        <v/>
      </c>
      <c r="N52" s="31"/>
      <c r="O52" s="35" t="str">
        <f t="shared" si="2"/>
        <v/>
      </c>
      <c r="P52" s="21"/>
      <c r="Q52" s="17"/>
      <c r="R52" s="17"/>
      <c r="S52" s="23"/>
      <c r="T52" s="35" t="str">
        <f t="shared" si="3"/>
        <v/>
      </c>
      <c r="U52" s="17"/>
      <c r="V52" s="17"/>
      <c r="W52" s="17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8" customHeight="1">
      <c r="A53" s="21"/>
      <c r="B53" s="33" t="str">
        <f t="shared" si="0"/>
        <v/>
      </c>
      <c r="C53" s="17"/>
      <c r="D53" s="17"/>
      <c r="E53" s="17"/>
      <c r="F53" s="17"/>
      <c r="G53" s="17"/>
      <c r="H53" s="17"/>
      <c r="I53" s="17"/>
      <c r="J53" s="17"/>
      <c r="K53" s="23"/>
      <c r="L53" s="23"/>
      <c r="M53" s="35" t="str">
        <f t="shared" si="1"/>
        <v/>
      </c>
      <c r="N53" s="31"/>
      <c r="O53" s="35" t="str">
        <f t="shared" si="2"/>
        <v/>
      </c>
      <c r="P53" s="21"/>
      <c r="Q53" s="17"/>
      <c r="R53" s="17"/>
      <c r="S53" s="23"/>
      <c r="T53" s="35" t="str">
        <f t="shared" si="3"/>
        <v/>
      </c>
      <c r="U53" s="17"/>
      <c r="V53" s="17"/>
      <c r="W53" s="17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8" customHeight="1">
      <c r="A54" s="21"/>
      <c r="B54" s="33" t="str">
        <f t="shared" si="0"/>
        <v/>
      </c>
      <c r="C54" s="17"/>
      <c r="D54" s="17"/>
      <c r="E54" s="17"/>
      <c r="F54" s="17"/>
      <c r="G54" s="17"/>
      <c r="H54" s="17"/>
      <c r="I54" s="17"/>
      <c r="J54" s="17"/>
      <c r="K54" s="23"/>
      <c r="L54" s="23"/>
      <c r="M54" s="35" t="str">
        <f t="shared" si="1"/>
        <v/>
      </c>
      <c r="N54" s="31"/>
      <c r="O54" s="35" t="str">
        <f t="shared" si="2"/>
        <v/>
      </c>
      <c r="P54" s="21"/>
      <c r="Q54" s="17"/>
      <c r="R54" s="17"/>
      <c r="S54" s="23"/>
      <c r="T54" s="35" t="str">
        <f t="shared" si="3"/>
        <v/>
      </c>
      <c r="U54" s="17"/>
      <c r="V54" s="17"/>
      <c r="W54" s="17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8" customHeight="1">
      <c r="A55" s="21"/>
      <c r="B55" s="33" t="str">
        <f t="shared" si="0"/>
        <v/>
      </c>
      <c r="C55" s="17"/>
      <c r="D55" s="17"/>
      <c r="E55" s="17"/>
      <c r="F55" s="17"/>
      <c r="G55" s="17"/>
      <c r="H55" s="17"/>
      <c r="I55" s="17"/>
      <c r="J55" s="17"/>
      <c r="K55" s="23"/>
      <c r="L55" s="23"/>
      <c r="M55" s="35" t="str">
        <f t="shared" si="1"/>
        <v/>
      </c>
      <c r="N55" s="31"/>
      <c r="O55" s="35" t="str">
        <f t="shared" si="2"/>
        <v/>
      </c>
      <c r="P55" s="21"/>
      <c r="Q55" s="17"/>
      <c r="R55" s="17"/>
      <c r="S55" s="23"/>
      <c r="T55" s="35" t="str">
        <f t="shared" si="3"/>
        <v/>
      </c>
      <c r="U55" s="17"/>
      <c r="V55" s="17"/>
      <c r="W55" s="17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8" customHeight="1">
      <c r="A56" s="21"/>
      <c r="B56" s="33" t="str">
        <f t="shared" si="0"/>
        <v/>
      </c>
      <c r="C56" s="17"/>
      <c r="D56" s="17"/>
      <c r="E56" s="17"/>
      <c r="F56" s="17"/>
      <c r="G56" s="17"/>
      <c r="H56" s="17"/>
      <c r="I56" s="17"/>
      <c r="J56" s="17"/>
      <c r="K56" s="23"/>
      <c r="L56" s="23"/>
      <c r="M56" s="35" t="str">
        <f t="shared" si="1"/>
        <v/>
      </c>
      <c r="N56" s="31"/>
      <c r="O56" s="35" t="str">
        <f t="shared" si="2"/>
        <v/>
      </c>
      <c r="P56" s="21"/>
      <c r="Q56" s="17"/>
      <c r="R56" s="17"/>
      <c r="S56" s="23"/>
      <c r="T56" s="35" t="str">
        <f t="shared" si="3"/>
        <v/>
      </c>
      <c r="U56" s="17"/>
      <c r="V56" s="17"/>
      <c r="W56" s="17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8" customHeight="1">
      <c r="A57" s="21"/>
      <c r="B57" s="33" t="str">
        <f t="shared" si="0"/>
        <v/>
      </c>
      <c r="C57" s="17"/>
      <c r="D57" s="17"/>
      <c r="E57" s="17"/>
      <c r="F57" s="17"/>
      <c r="G57" s="17"/>
      <c r="H57" s="17"/>
      <c r="I57" s="17"/>
      <c r="J57" s="17"/>
      <c r="K57" s="23"/>
      <c r="L57" s="23"/>
      <c r="M57" s="35" t="str">
        <f t="shared" si="1"/>
        <v/>
      </c>
      <c r="N57" s="31"/>
      <c r="O57" s="35" t="str">
        <f t="shared" si="2"/>
        <v/>
      </c>
      <c r="P57" s="21"/>
      <c r="Q57" s="17"/>
      <c r="R57" s="17"/>
      <c r="S57" s="23"/>
      <c r="T57" s="35" t="str">
        <f t="shared" si="3"/>
        <v/>
      </c>
      <c r="U57" s="17"/>
      <c r="V57" s="17"/>
      <c r="W57" s="17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8" customHeight="1">
      <c r="A58" s="21"/>
      <c r="B58" s="33" t="str">
        <f t="shared" si="0"/>
        <v/>
      </c>
      <c r="C58" s="17"/>
      <c r="D58" s="17"/>
      <c r="E58" s="17"/>
      <c r="F58" s="17"/>
      <c r="G58" s="17"/>
      <c r="H58" s="17"/>
      <c r="I58" s="17"/>
      <c r="J58" s="17"/>
      <c r="K58" s="23"/>
      <c r="L58" s="23"/>
      <c r="M58" s="35" t="str">
        <f t="shared" si="1"/>
        <v/>
      </c>
      <c r="N58" s="31"/>
      <c r="O58" s="35" t="str">
        <f t="shared" si="2"/>
        <v/>
      </c>
      <c r="P58" s="21"/>
      <c r="Q58" s="17"/>
      <c r="R58" s="17"/>
      <c r="S58" s="23"/>
      <c r="T58" s="35" t="str">
        <f t="shared" si="3"/>
        <v/>
      </c>
      <c r="U58" s="17"/>
      <c r="V58" s="17"/>
      <c r="W58" s="17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8" customHeight="1">
      <c r="A59" s="21"/>
      <c r="B59" s="33" t="str">
        <f t="shared" si="0"/>
        <v/>
      </c>
      <c r="C59" s="17"/>
      <c r="D59" s="17"/>
      <c r="E59" s="17"/>
      <c r="F59" s="17"/>
      <c r="G59" s="17"/>
      <c r="H59" s="17"/>
      <c r="I59" s="17"/>
      <c r="J59" s="17"/>
      <c r="K59" s="23"/>
      <c r="L59" s="23"/>
      <c r="M59" s="35" t="str">
        <f t="shared" si="1"/>
        <v/>
      </c>
      <c r="N59" s="31"/>
      <c r="O59" s="35" t="str">
        <f t="shared" si="2"/>
        <v/>
      </c>
      <c r="P59" s="21"/>
      <c r="Q59" s="17"/>
      <c r="R59" s="17"/>
      <c r="S59" s="23"/>
      <c r="T59" s="35" t="str">
        <f t="shared" si="3"/>
        <v/>
      </c>
      <c r="U59" s="17"/>
      <c r="V59" s="17"/>
      <c r="W59" s="17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8" customHeight="1">
      <c r="A60" s="21"/>
      <c r="B60" s="33" t="str">
        <f t="shared" si="0"/>
        <v/>
      </c>
      <c r="C60" s="17"/>
      <c r="D60" s="17"/>
      <c r="E60" s="17"/>
      <c r="F60" s="17"/>
      <c r="G60" s="17"/>
      <c r="H60" s="17"/>
      <c r="I60" s="17"/>
      <c r="J60" s="17"/>
      <c r="K60" s="23"/>
      <c r="L60" s="23"/>
      <c r="M60" s="35" t="str">
        <f t="shared" si="1"/>
        <v/>
      </c>
      <c r="N60" s="31"/>
      <c r="O60" s="35" t="str">
        <f t="shared" si="2"/>
        <v/>
      </c>
      <c r="P60" s="21"/>
      <c r="Q60" s="17"/>
      <c r="R60" s="17"/>
      <c r="S60" s="23"/>
      <c r="T60" s="35" t="str">
        <f t="shared" si="3"/>
        <v/>
      </c>
      <c r="U60" s="17"/>
      <c r="V60" s="17"/>
      <c r="W60" s="17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8" customHeight="1">
      <c r="A61" s="21"/>
      <c r="B61" s="33" t="str">
        <f t="shared" si="0"/>
        <v/>
      </c>
      <c r="C61" s="17"/>
      <c r="D61" s="17"/>
      <c r="E61" s="17"/>
      <c r="F61" s="17"/>
      <c r="G61" s="17"/>
      <c r="H61" s="17"/>
      <c r="I61" s="17"/>
      <c r="J61" s="17"/>
      <c r="K61" s="23"/>
      <c r="L61" s="23"/>
      <c r="M61" s="35" t="str">
        <f t="shared" si="1"/>
        <v/>
      </c>
      <c r="N61" s="31"/>
      <c r="O61" s="35" t="str">
        <f t="shared" si="2"/>
        <v/>
      </c>
      <c r="P61" s="21"/>
      <c r="Q61" s="17"/>
      <c r="R61" s="17"/>
      <c r="S61" s="23"/>
      <c r="T61" s="35" t="str">
        <f t="shared" si="3"/>
        <v/>
      </c>
      <c r="U61" s="17"/>
      <c r="V61" s="17"/>
      <c r="W61" s="17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8" customHeight="1">
      <c r="A62" s="21"/>
      <c r="B62" s="33" t="str">
        <f t="shared" si="0"/>
        <v/>
      </c>
      <c r="C62" s="17"/>
      <c r="D62" s="17"/>
      <c r="E62" s="17"/>
      <c r="F62" s="17"/>
      <c r="G62" s="17"/>
      <c r="H62" s="17"/>
      <c r="I62" s="17"/>
      <c r="J62" s="17"/>
      <c r="K62" s="23"/>
      <c r="L62" s="23"/>
      <c r="M62" s="35" t="str">
        <f t="shared" si="1"/>
        <v/>
      </c>
      <c r="N62" s="31"/>
      <c r="O62" s="35" t="str">
        <f t="shared" si="2"/>
        <v/>
      </c>
      <c r="P62" s="21"/>
      <c r="Q62" s="17"/>
      <c r="R62" s="17"/>
      <c r="S62" s="23"/>
      <c r="T62" s="35" t="str">
        <f t="shared" si="3"/>
        <v/>
      </c>
      <c r="U62" s="17"/>
      <c r="V62" s="17"/>
      <c r="W62" s="17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8" customHeight="1">
      <c r="A63" s="21"/>
      <c r="B63" s="33" t="str">
        <f t="shared" si="0"/>
        <v/>
      </c>
      <c r="C63" s="17"/>
      <c r="D63" s="17"/>
      <c r="E63" s="17"/>
      <c r="F63" s="17"/>
      <c r="G63" s="17"/>
      <c r="H63" s="17"/>
      <c r="I63" s="17"/>
      <c r="J63" s="17"/>
      <c r="K63" s="23"/>
      <c r="L63" s="23"/>
      <c r="M63" s="35" t="str">
        <f t="shared" si="1"/>
        <v/>
      </c>
      <c r="N63" s="31"/>
      <c r="O63" s="35" t="str">
        <f t="shared" si="2"/>
        <v/>
      </c>
      <c r="P63" s="21"/>
      <c r="Q63" s="17"/>
      <c r="R63" s="17"/>
      <c r="S63" s="23"/>
      <c r="T63" s="35" t="str">
        <f t="shared" si="3"/>
        <v/>
      </c>
      <c r="U63" s="17"/>
      <c r="V63" s="17"/>
      <c r="W63" s="17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8" customHeight="1">
      <c r="A64" s="21"/>
      <c r="B64" s="33" t="str">
        <f t="shared" si="0"/>
        <v/>
      </c>
      <c r="C64" s="17"/>
      <c r="D64" s="17"/>
      <c r="E64" s="17"/>
      <c r="F64" s="17"/>
      <c r="G64" s="17"/>
      <c r="H64" s="17"/>
      <c r="I64" s="17"/>
      <c r="J64" s="17"/>
      <c r="K64" s="23"/>
      <c r="L64" s="23"/>
      <c r="M64" s="35" t="str">
        <f t="shared" si="1"/>
        <v/>
      </c>
      <c r="N64" s="31"/>
      <c r="O64" s="35" t="str">
        <f t="shared" si="2"/>
        <v/>
      </c>
      <c r="P64" s="21"/>
      <c r="Q64" s="17"/>
      <c r="R64" s="17"/>
      <c r="S64" s="23"/>
      <c r="T64" s="35" t="str">
        <f t="shared" si="3"/>
        <v/>
      </c>
      <c r="U64" s="17"/>
      <c r="V64" s="17"/>
      <c r="W64" s="17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8" customHeight="1">
      <c r="A65" s="21"/>
      <c r="B65" s="33" t="str">
        <f t="shared" si="0"/>
        <v/>
      </c>
      <c r="C65" s="17"/>
      <c r="D65" s="17"/>
      <c r="E65" s="17"/>
      <c r="F65" s="17"/>
      <c r="G65" s="17"/>
      <c r="H65" s="17"/>
      <c r="I65" s="17"/>
      <c r="J65" s="17"/>
      <c r="K65" s="23"/>
      <c r="L65" s="23"/>
      <c r="M65" s="35" t="str">
        <f t="shared" si="1"/>
        <v/>
      </c>
      <c r="N65" s="31"/>
      <c r="O65" s="35" t="str">
        <f t="shared" si="2"/>
        <v/>
      </c>
      <c r="P65" s="21"/>
      <c r="Q65" s="17"/>
      <c r="R65" s="17"/>
      <c r="S65" s="23"/>
      <c r="T65" s="35" t="str">
        <f t="shared" si="3"/>
        <v/>
      </c>
      <c r="U65" s="17"/>
      <c r="V65" s="17"/>
      <c r="W65" s="17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8" customHeight="1">
      <c r="A66" s="21"/>
      <c r="B66" s="33" t="str">
        <f t="shared" si="0"/>
        <v/>
      </c>
      <c r="C66" s="17"/>
      <c r="D66" s="17"/>
      <c r="E66" s="17"/>
      <c r="F66" s="17"/>
      <c r="G66" s="17"/>
      <c r="H66" s="17"/>
      <c r="I66" s="17"/>
      <c r="J66" s="17"/>
      <c r="K66" s="23"/>
      <c r="L66" s="23"/>
      <c r="M66" s="35" t="str">
        <f t="shared" si="1"/>
        <v/>
      </c>
      <c r="N66" s="31"/>
      <c r="O66" s="35" t="str">
        <f t="shared" si="2"/>
        <v/>
      </c>
      <c r="P66" s="21"/>
      <c r="Q66" s="17"/>
      <c r="R66" s="17"/>
      <c r="S66" s="23"/>
      <c r="T66" s="35" t="str">
        <f t="shared" si="3"/>
        <v/>
      </c>
      <c r="U66" s="17"/>
      <c r="V66" s="17"/>
      <c r="W66" s="17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8" customHeight="1">
      <c r="A67" s="21"/>
      <c r="B67" s="33" t="str">
        <f t="shared" si="0"/>
        <v/>
      </c>
      <c r="C67" s="17"/>
      <c r="D67" s="17"/>
      <c r="E67" s="17"/>
      <c r="F67" s="17"/>
      <c r="G67" s="17"/>
      <c r="H67" s="17"/>
      <c r="I67" s="17"/>
      <c r="J67" s="17"/>
      <c r="K67" s="23"/>
      <c r="L67" s="23"/>
      <c r="M67" s="35" t="str">
        <f t="shared" si="1"/>
        <v/>
      </c>
      <c r="N67" s="31"/>
      <c r="O67" s="35" t="str">
        <f t="shared" si="2"/>
        <v/>
      </c>
      <c r="P67" s="21"/>
      <c r="Q67" s="17"/>
      <c r="R67" s="17"/>
      <c r="S67" s="23"/>
      <c r="T67" s="35" t="str">
        <f t="shared" si="3"/>
        <v/>
      </c>
      <c r="U67" s="17"/>
      <c r="V67" s="17"/>
      <c r="W67" s="17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8" customHeight="1">
      <c r="A68" s="21"/>
      <c r="B68" s="33" t="str">
        <f t="shared" si="0"/>
        <v/>
      </c>
      <c r="C68" s="17"/>
      <c r="D68" s="17"/>
      <c r="E68" s="17"/>
      <c r="F68" s="17"/>
      <c r="G68" s="17"/>
      <c r="H68" s="17"/>
      <c r="I68" s="17"/>
      <c r="J68" s="17"/>
      <c r="K68" s="23"/>
      <c r="L68" s="23"/>
      <c r="M68" s="35" t="str">
        <f t="shared" si="1"/>
        <v/>
      </c>
      <c r="N68" s="31"/>
      <c r="O68" s="35" t="str">
        <f t="shared" si="2"/>
        <v/>
      </c>
      <c r="P68" s="21"/>
      <c r="Q68" s="17"/>
      <c r="R68" s="17"/>
      <c r="S68" s="23"/>
      <c r="T68" s="35" t="str">
        <f t="shared" si="3"/>
        <v/>
      </c>
      <c r="U68" s="17"/>
      <c r="V68" s="17"/>
      <c r="W68" s="17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8" customHeight="1">
      <c r="A69" s="21"/>
      <c r="B69" s="33" t="str">
        <f t="shared" si="0"/>
        <v/>
      </c>
      <c r="C69" s="17"/>
      <c r="D69" s="17"/>
      <c r="E69" s="17"/>
      <c r="F69" s="17"/>
      <c r="G69" s="17"/>
      <c r="H69" s="17"/>
      <c r="I69" s="17"/>
      <c r="J69" s="17"/>
      <c r="K69" s="23"/>
      <c r="L69" s="23"/>
      <c r="M69" s="35" t="str">
        <f t="shared" si="1"/>
        <v/>
      </c>
      <c r="N69" s="31"/>
      <c r="O69" s="35" t="str">
        <f t="shared" si="2"/>
        <v/>
      </c>
      <c r="P69" s="21"/>
      <c r="Q69" s="17"/>
      <c r="R69" s="17"/>
      <c r="S69" s="23"/>
      <c r="T69" s="35" t="str">
        <f t="shared" si="3"/>
        <v/>
      </c>
      <c r="U69" s="17"/>
      <c r="V69" s="17"/>
      <c r="W69" s="17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8" customHeight="1">
      <c r="A70" s="21"/>
      <c r="B70" s="33" t="str">
        <f t="shared" si="0"/>
        <v/>
      </c>
      <c r="C70" s="17"/>
      <c r="D70" s="17"/>
      <c r="E70" s="17"/>
      <c r="F70" s="17"/>
      <c r="G70" s="17"/>
      <c r="H70" s="17"/>
      <c r="I70" s="17"/>
      <c r="J70" s="17"/>
      <c r="K70" s="23"/>
      <c r="L70" s="23"/>
      <c r="M70" s="35" t="str">
        <f t="shared" si="1"/>
        <v/>
      </c>
      <c r="N70" s="31"/>
      <c r="O70" s="35" t="str">
        <f t="shared" si="2"/>
        <v/>
      </c>
      <c r="P70" s="21"/>
      <c r="Q70" s="17"/>
      <c r="R70" s="17"/>
      <c r="S70" s="23"/>
      <c r="T70" s="35" t="str">
        <f t="shared" si="3"/>
        <v/>
      </c>
      <c r="U70" s="17"/>
      <c r="V70" s="17"/>
      <c r="W70" s="17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8" customHeight="1">
      <c r="A71" s="21"/>
      <c r="B71" s="33" t="str">
        <f t="shared" ref="B71:B134" si="4">IF(A71="","",DATE(YEAR(A71),MONTH(A71),1))</f>
        <v/>
      </c>
      <c r="C71" s="17"/>
      <c r="D71" s="17"/>
      <c r="E71" s="17"/>
      <c r="F71" s="17"/>
      <c r="G71" s="17"/>
      <c r="H71" s="17"/>
      <c r="I71" s="17"/>
      <c r="J71" s="17"/>
      <c r="K71" s="23"/>
      <c r="L71" s="23"/>
      <c r="M71" s="35" t="str">
        <f t="shared" ref="M71:M134" si="5">IF(K71="","",K71+IF(L71="",0,L71))</f>
        <v/>
      </c>
      <c r="N71" s="31"/>
      <c r="O71" s="35" t="str">
        <f t="shared" ref="O71:O134" si="6">IF(M71="","",M71-IF(N71="",0,N71))</f>
        <v/>
      </c>
      <c r="P71" s="21"/>
      <c r="Q71" s="17"/>
      <c r="R71" s="17"/>
      <c r="S71" s="23"/>
      <c r="T71" s="35" t="str">
        <f t="shared" ref="T71:T134" si="7">IF(OR(K71="",S71=""),"",K71-S71)</f>
        <v/>
      </c>
      <c r="U71" s="17"/>
      <c r="V71" s="17"/>
      <c r="W71" s="17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8" customHeight="1">
      <c r="A72" s="21"/>
      <c r="B72" s="33" t="str">
        <f t="shared" si="4"/>
        <v/>
      </c>
      <c r="C72" s="17"/>
      <c r="D72" s="17"/>
      <c r="E72" s="17"/>
      <c r="F72" s="17"/>
      <c r="G72" s="17"/>
      <c r="H72" s="17"/>
      <c r="I72" s="17"/>
      <c r="J72" s="17"/>
      <c r="K72" s="23"/>
      <c r="L72" s="23"/>
      <c r="M72" s="35" t="str">
        <f t="shared" si="5"/>
        <v/>
      </c>
      <c r="N72" s="31"/>
      <c r="O72" s="35" t="str">
        <f t="shared" si="6"/>
        <v/>
      </c>
      <c r="P72" s="21"/>
      <c r="Q72" s="17"/>
      <c r="R72" s="17"/>
      <c r="S72" s="23"/>
      <c r="T72" s="35" t="str">
        <f t="shared" si="7"/>
        <v/>
      </c>
      <c r="U72" s="17"/>
      <c r="V72" s="17"/>
      <c r="W72" s="17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8" customHeight="1">
      <c r="A73" s="21"/>
      <c r="B73" s="33" t="str">
        <f t="shared" si="4"/>
        <v/>
      </c>
      <c r="C73" s="17"/>
      <c r="D73" s="17"/>
      <c r="E73" s="17"/>
      <c r="F73" s="17"/>
      <c r="G73" s="17"/>
      <c r="H73" s="17"/>
      <c r="I73" s="17"/>
      <c r="J73" s="17"/>
      <c r="K73" s="23"/>
      <c r="L73" s="23"/>
      <c r="M73" s="35" t="str">
        <f t="shared" si="5"/>
        <v/>
      </c>
      <c r="N73" s="31"/>
      <c r="O73" s="35" t="str">
        <f t="shared" si="6"/>
        <v/>
      </c>
      <c r="P73" s="21"/>
      <c r="Q73" s="17"/>
      <c r="R73" s="17"/>
      <c r="S73" s="23"/>
      <c r="T73" s="35" t="str">
        <f t="shared" si="7"/>
        <v/>
      </c>
      <c r="U73" s="17"/>
      <c r="V73" s="17"/>
      <c r="W73" s="17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8" customHeight="1">
      <c r="A74" s="21"/>
      <c r="B74" s="33" t="str">
        <f t="shared" si="4"/>
        <v/>
      </c>
      <c r="C74" s="17"/>
      <c r="D74" s="17"/>
      <c r="E74" s="17"/>
      <c r="F74" s="17"/>
      <c r="G74" s="17"/>
      <c r="H74" s="17"/>
      <c r="I74" s="17"/>
      <c r="J74" s="17"/>
      <c r="K74" s="23"/>
      <c r="L74" s="23"/>
      <c r="M74" s="35" t="str">
        <f t="shared" si="5"/>
        <v/>
      </c>
      <c r="N74" s="31"/>
      <c r="O74" s="35" t="str">
        <f t="shared" si="6"/>
        <v/>
      </c>
      <c r="P74" s="21"/>
      <c r="Q74" s="17"/>
      <c r="R74" s="17"/>
      <c r="S74" s="23"/>
      <c r="T74" s="35" t="str">
        <f t="shared" si="7"/>
        <v/>
      </c>
      <c r="U74" s="17"/>
      <c r="V74" s="17"/>
      <c r="W74" s="17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8" customHeight="1">
      <c r="A75" s="21"/>
      <c r="B75" s="33" t="str">
        <f t="shared" si="4"/>
        <v/>
      </c>
      <c r="C75" s="17"/>
      <c r="D75" s="17"/>
      <c r="E75" s="17"/>
      <c r="F75" s="17"/>
      <c r="G75" s="17"/>
      <c r="H75" s="17"/>
      <c r="I75" s="17"/>
      <c r="J75" s="17"/>
      <c r="K75" s="23"/>
      <c r="L75" s="23"/>
      <c r="M75" s="35" t="str">
        <f t="shared" si="5"/>
        <v/>
      </c>
      <c r="N75" s="31"/>
      <c r="O75" s="35" t="str">
        <f t="shared" si="6"/>
        <v/>
      </c>
      <c r="P75" s="21"/>
      <c r="Q75" s="17"/>
      <c r="R75" s="17"/>
      <c r="S75" s="23"/>
      <c r="T75" s="35" t="str">
        <f t="shared" si="7"/>
        <v/>
      </c>
      <c r="U75" s="17"/>
      <c r="V75" s="17"/>
      <c r="W75" s="17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8" customHeight="1">
      <c r="A76" s="21"/>
      <c r="B76" s="33" t="str">
        <f t="shared" si="4"/>
        <v/>
      </c>
      <c r="C76" s="17"/>
      <c r="D76" s="17"/>
      <c r="E76" s="17"/>
      <c r="F76" s="17"/>
      <c r="G76" s="17"/>
      <c r="H76" s="17"/>
      <c r="I76" s="17"/>
      <c r="J76" s="17"/>
      <c r="K76" s="23"/>
      <c r="L76" s="23"/>
      <c r="M76" s="35" t="str">
        <f t="shared" si="5"/>
        <v/>
      </c>
      <c r="N76" s="31"/>
      <c r="O76" s="35" t="str">
        <f t="shared" si="6"/>
        <v/>
      </c>
      <c r="P76" s="21"/>
      <c r="Q76" s="17"/>
      <c r="R76" s="17"/>
      <c r="S76" s="23"/>
      <c r="T76" s="35" t="str">
        <f t="shared" si="7"/>
        <v/>
      </c>
      <c r="U76" s="17"/>
      <c r="V76" s="17"/>
      <c r="W76" s="17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8" customHeight="1">
      <c r="A77" s="21"/>
      <c r="B77" s="33" t="str">
        <f t="shared" si="4"/>
        <v/>
      </c>
      <c r="C77" s="17"/>
      <c r="D77" s="17"/>
      <c r="E77" s="17"/>
      <c r="F77" s="17"/>
      <c r="G77" s="17"/>
      <c r="H77" s="17"/>
      <c r="I77" s="17"/>
      <c r="J77" s="17"/>
      <c r="K77" s="23"/>
      <c r="L77" s="23"/>
      <c r="M77" s="35" t="str">
        <f t="shared" si="5"/>
        <v/>
      </c>
      <c r="N77" s="31"/>
      <c r="O77" s="35" t="str">
        <f t="shared" si="6"/>
        <v/>
      </c>
      <c r="P77" s="21"/>
      <c r="Q77" s="17"/>
      <c r="R77" s="17"/>
      <c r="S77" s="23"/>
      <c r="T77" s="35" t="str">
        <f t="shared" si="7"/>
        <v/>
      </c>
      <c r="U77" s="17"/>
      <c r="V77" s="17"/>
      <c r="W77" s="17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8" customHeight="1">
      <c r="A78" s="21"/>
      <c r="B78" s="33" t="str">
        <f t="shared" si="4"/>
        <v/>
      </c>
      <c r="C78" s="17"/>
      <c r="D78" s="17"/>
      <c r="E78" s="17"/>
      <c r="F78" s="17"/>
      <c r="G78" s="17"/>
      <c r="H78" s="17"/>
      <c r="I78" s="17"/>
      <c r="J78" s="17"/>
      <c r="K78" s="23"/>
      <c r="L78" s="23"/>
      <c r="M78" s="35" t="str">
        <f t="shared" si="5"/>
        <v/>
      </c>
      <c r="N78" s="31"/>
      <c r="O78" s="35" t="str">
        <f t="shared" si="6"/>
        <v/>
      </c>
      <c r="P78" s="21"/>
      <c r="Q78" s="17"/>
      <c r="R78" s="17"/>
      <c r="S78" s="23"/>
      <c r="T78" s="35" t="str">
        <f t="shared" si="7"/>
        <v/>
      </c>
      <c r="U78" s="17"/>
      <c r="V78" s="17"/>
      <c r="W78" s="17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8" customHeight="1">
      <c r="A79" s="21"/>
      <c r="B79" s="33" t="str">
        <f t="shared" si="4"/>
        <v/>
      </c>
      <c r="C79" s="17"/>
      <c r="D79" s="17"/>
      <c r="E79" s="17"/>
      <c r="F79" s="17"/>
      <c r="G79" s="17"/>
      <c r="H79" s="17"/>
      <c r="I79" s="17"/>
      <c r="J79" s="17"/>
      <c r="K79" s="23"/>
      <c r="L79" s="23"/>
      <c r="M79" s="35" t="str">
        <f t="shared" si="5"/>
        <v/>
      </c>
      <c r="N79" s="31"/>
      <c r="O79" s="35" t="str">
        <f t="shared" si="6"/>
        <v/>
      </c>
      <c r="P79" s="21"/>
      <c r="Q79" s="17"/>
      <c r="R79" s="17"/>
      <c r="S79" s="23"/>
      <c r="T79" s="35" t="str">
        <f t="shared" si="7"/>
        <v/>
      </c>
      <c r="U79" s="17"/>
      <c r="V79" s="17"/>
      <c r="W79" s="17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8" customHeight="1">
      <c r="A80" s="21"/>
      <c r="B80" s="33" t="str">
        <f t="shared" si="4"/>
        <v/>
      </c>
      <c r="C80" s="17"/>
      <c r="D80" s="17"/>
      <c r="E80" s="17"/>
      <c r="F80" s="17"/>
      <c r="G80" s="17"/>
      <c r="H80" s="17"/>
      <c r="I80" s="17"/>
      <c r="J80" s="17"/>
      <c r="K80" s="23"/>
      <c r="L80" s="23"/>
      <c r="M80" s="35" t="str">
        <f t="shared" si="5"/>
        <v/>
      </c>
      <c r="N80" s="31"/>
      <c r="O80" s="35" t="str">
        <f t="shared" si="6"/>
        <v/>
      </c>
      <c r="P80" s="21"/>
      <c r="Q80" s="17"/>
      <c r="R80" s="17"/>
      <c r="S80" s="23"/>
      <c r="T80" s="35" t="str">
        <f t="shared" si="7"/>
        <v/>
      </c>
      <c r="U80" s="17"/>
      <c r="V80" s="17"/>
      <c r="W80" s="17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8" customHeight="1">
      <c r="A81" s="21"/>
      <c r="B81" s="33" t="str">
        <f t="shared" si="4"/>
        <v/>
      </c>
      <c r="C81" s="17"/>
      <c r="D81" s="17"/>
      <c r="E81" s="17"/>
      <c r="F81" s="17"/>
      <c r="G81" s="17"/>
      <c r="H81" s="17"/>
      <c r="I81" s="17"/>
      <c r="J81" s="17"/>
      <c r="K81" s="23"/>
      <c r="L81" s="23"/>
      <c r="M81" s="35" t="str">
        <f t="shared" si="5"/>
        <v/>
      </c>
      <c r="N81" s="31"/>
      <c r="O81" s="35" t="str">
        <f t="shared" si="6"/>
        <v/>
      </c>
      <c r="P81" s="21"/>
      <c r="Q81" s="17"/>
      <c r="R81" s="17"/>
      <c r="S81" s="23"/>
      <c r="T81" s="35" t="str">
        <f t="shared" si="7"/>
        <v/>
      </c>
      <c r="U81" s="17"/>
      <c r="V81" s="17"/>
      <c r="W81" s="17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8" customHeight="1">
      <c r="A82" s="21"/>
      <c r="B82" s="33" t="str">
        <f t="shared" si="4"/>
        <v/>
      </c>
      <c r="C82" s="17"/>
      <c r="D82" s="17"/>
      <c r="E82" s="17"/>
      <c r="F82" s="17"/>
      <c r="G82" s="17"/>
      <c r="H82" s="17"/>
      <c r="I82" s="17"/>
      <c r="J82" s="17"/>
      <c r="K82" s="23"/>
      <c r="L82" s="23"/>
      <c r="M82" s="35" t="str">
        <f t="shared" si="5"/>
        <v/>
      </c>
      <c r="N82" s="31"/>
      <c r="O82" s="35" t="str">
        <f t="shared" si="6"/>
        <v/>
      </c>
      <c r="P82" s="21"/>
      <c r="Q82" s="17"/>
      <c r="R82" s="17"/>
      <c r="S82" s="23"/>
      <c r="T82" s="35" t="str">
        <f t="shared" si="7"/>
        <v/>
      </c>
      <c r="U82" s="17"/>
      <c r="V82" s="17"/>
      <c r="W82" s="17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8" customHeight="1">
      <c r="A83" s="21"/>
      <c r="B83" s="33" t="str">
        <f t="shared" si="4"/>
        <v/>
      </c>
      <c r="C83" s="17"/>
      <c r="D83" s="17"/>
      <c r="E83" s="17"/>
      <c r="F83" s="17"/>
      <c r="G83" s="17"/>
      <c r="H83" s="17"/>
      <c r="I83" s="17"/>
      <c r="J83" s="17"/>
      <c r="K83" s="23"/>
      <c r="L83" s="23"/>
      <c r="M83" s="35" t="str">
        <f t="shared" si="5"/>
        <v/>
      </c>
      <c r="N83" s="31"/>
      <c r="O83" s="35" t="str">
        <f t="shared" si="6"/>
        <v/>
      </c>
      <c r="P83" s="21"/>
      <c r="Q83" s="17"/>
      <c r="R83" s="17"/>
      <c r="S83" s="23"/>
      <c r="T83" s="35" t="str">
        <f t="shared" si="7"/>
        <v/>
      </c>
      <c r="U83" s="17"/>
      <c r="V83" s="17"/>
      <c r="W83" s="17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8" customHeight="1">
      <c r="A84" s="21"/>
      <c r="B84" s="33" t="str">
        <f t="shared" si="4"/>
        <v/>
      </c>
      <c r="C84" s="17"/>
      <c r="D84" s="17"/>
      <c r="E84" s="17"/>
      <c r="F84" s="17"/>
      <c r="G84" s="17"/>
      <c r="H84" s="17"/>
      <c r="I84" s="17"/>
      <c r="J84" s="17"/>
      <c r="K84" s="23"/>
      <c r="L84" s="23"/>
      <c r="M84" s="35" t="str">
        <f t="shared" si="5"/>
        <v/>
      </c>
      <c r="N84" s="31"/>
      <c r="O84" s="35" t="str">
        <f t="shared" si="6"/>
        <v/>
      </c>
      <c r="P84" s="21"/>
      <c r="Q84" s="17"/>
      <c r="R84" s="17"/>
      <c r="S84" s="23"/>
      <c r="T84" s="35" t="str">
        <f t="shared" si="7"/>
        <v/>
      </c>
      <c r="U84" s="17"/>
      <c r="V84" s="17"/>
      <c r="W84" s="17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8" customHeight="1">
      <c r="A85" s="21"/>
      <c r="B85" s="33" t="str">
        <f t="shared" si="4"/>
        <v/>
      </c>
      <c r="C85" s="17"/>
      <c r="D85" s="17"/>
      <c r="E85" s="17"/>
      <c r="F85" s="17"/>
      <c r="G85" s="17"/>
      <c r="H85" s="17"/>
      <c r="I85" s="17"/>
      <c r="J85" s="17"/>
      <c r="K85" s="23"/>
      <c r="L85" s="23"/>
      <c r="M85" s="35" t="str">
        <f t="shared" si="5"/>
        <v/>
      </c>
      <c r="N85" s="31"/>
      <c r="O85" s="35" t="str">
        <f t="shared" si="6"/>
        <v/>
      </c>
      <c r="P85" s="21"/>
      <c r="Q85" s="17"/>
      <c r="R85" s="17"/>
      <c r="S85" s="23"/>
      <c r="T85" s="35" t="str">
        <f t="shared" si="7"/>
        <v/>
      </c>
      <c r="U85" s="17"/>
      <c r="V85" s="17"/>
      <c r="W85" s="17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8" customHeight="1">
      <c r="A86" s="21"/>
      <c r="B86" s="33" t="str">
        <f t="shared" si="4"/>
        <v/>
      </c>
      <c r="C86" s="17"/>
      <c r="D86" s="17"/>
      <c r="E86" s="17"/>
      <c r="F86" s="17"/>
      <c r="G86" s="17"/>
      <c r="H86" s="17"/>
      <c r="I86" s="17"/>
      <c r="J86" s="17"/>
      <c r="K86" s="23"/>
      <c r="L86" s="23"/>
      <c r="M86" s="35" t="str">
        <f t="shared" si="5"/>
        <v/>
      </c>
      <c r="N86" s="31"/>
      <c r="O86" s="35" t="str">
        <f t="shared" si="6"/>
        <v/>
      </c>
      <c r="P86" s="21"/>
      <c r="Q86" s="17"/>
      <c r="R86" s="17"/>
      <c r="S86" s="23"/>
      <c r="T86" s="35" t="str">
        <f t="shared" si="7"/>
        <v/>
      </c>
      <c r="U86" s="17"/>
      <c r="V86" s="17"/>
      <c r="W86" s="17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8" customHeight="1">
      <c r="A87" s="21"/>
      <c r="B87" s="33" t="str">
        <f t="shared" si="4"/>
        <v/>
      </c>
      <c r="C87" s="17"/>
      <c r="D87" s="17"/>
      <c r="E87" s="17"/>
      <c r="F87" s="17"/>
      <c r="G87" s="17"/>
      <c r="H87" s="17"/>
      <c r="I87" s="17"/>
      <c r="J87" s="17"/>
      <c r="K87" s="23"/>
      <c r="L87" s="23"/>
      <c r="M87" s="35" t="str">
        <f t="shared" si="5"/>
        <v/>
      </c>
      <c r="N87" s="31"/>
      <c r="O87" s="35" t="str">
        <f t="shared" si="6"/>
        <v/>
      </c>
      <c r="P87" s="21"/>
      <c r="Q87" s="17"/>
      <c r="R87" s="17"/>
      <c r="S87" s="23"/>
      <c r="T87" s="35" t="str">
        <f t="shared" si="7"/>
        <v/>
      </c>
      <c r="U87" s="17"/>
      <c r="V87" s="17"/>
      <c r="W87" s="17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8" customHeight="1">
      <c r="A88" s="21"/>
      <c r="B88" s="33" t="str">
        <f t="shared" si="4"/>
        <v/>
      </c>
      <c r="C88" s="17"/>
      <c r="D88" s="17"/>
      <c r="E88" s="17"/>
      <c r="F88" s="17"/>
      <c r="G88" s="17"/>
      <c r="H88" s="17"/>
      <c r="I88" s="17"/>
      <c r="J88" s="17"/>
      <c r="K88" s="23"/>
      <c r="L88" s="23"/>
      <c r="M88" s="35" t="str">
        <f t="shared" si="5"/>
        <v/>
      </c>
      <c r="N88" s="31"/>
      <c r="O88" s="35" t="str">
        <f t="shared" si="6"/>
        <v/>
      </c>
      <c r="P88" s="21"/>
      <c r="Q88" s="17"/>
      <c r="R88" s="17"/>
      <c r="S88" s="23"/>
      <c r="T88" s="35" t="str">
        <f t="shared" si="7"/>
        <v/>
      </c>
      <c r="U88" s="17"/>
      <c r="V88" s="17"/>
      <c r="W88" s="17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8" customHeight="1">
      <c r="A89" s="21"/>
      <c r="B89" s="33" t="str">
        <f t="shared" si="4"/>
        <v/>
      </c>
      <c r="C89" s="17"/>
      <c r="D89" s="17"/>
      <c r="E89" s="17"/>
      <c r="F89" s="17"/>
      <c r="G89" s="17"/>
      <c r="H89" s="17"/>
      <c r="I89" s="17"/>
      <c r="J89" s="17"/>
      <c r="K89" s="23"/>
      <c r="L89" s="23"/>
      <c r="M89" s="35" t="str">
        <f t="shared" si="5"/>
        <v/>
      </c>
      <c r="N89" s="31"/>
      <c r="O89" s="35" t="str">
        <f t="shared" si="6"/>
        <v/>
      </c>
      <c r="P89" s="21"/>
      <c r="Q89" s="17"/>
      <c r="R89" s="17"/>
      <c r="S89" s="23"/>
      <c r="T89" s="35" t="str">
        <f t="shared" si="7"/>
        <v/>
      </c>
      <c r="U89" s="17"/>
      <c r="V89" s="17"/>
      <c r="W89" s="17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8" customHeight="1">
      <c r="A90" s="21"/>
      <c r="B90" s="33" t="str">
        <f t="shared" si="4"/>
        <v/>
      </c>
      <c r="C90" s="17"/>
      <c r="D90" s="17"/>
      <c r="E90" s="17"/>
      <c r="F90" s="17"/>
      <c r="G90" s="17"/>
      <c r="H90" s="17"/>
      <c r="I90" s="17"/>
      <c r="J90" s="17"/>
      <c r="K90" s="23"/>
      <c r="L90" s="23"/>
      <c r="M90" s="35" t="str">
        <f t="shared" si="5"/>
        <v/>
      </c>
      <c r="N90" s="31"/>
      <c r="O90" s="35" t="str">
        <f t="shared" si="6"/>
        <v/>
      </c>
      <c r="P90" s="21"/>
      <c r="Q90" s="17"/>
      <c r="R90" s="17"/>
      <c r="S90" s="23"/>
      <c r="T90" s="35" t="str">
        <f t="shared" si="7"/>
        <v/>
      </c>
      <c r="U90" s="17"/>
      <c r="V90" s="17"/>
      <c r="W90" s="17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8" customHeight="1">
      <c r="A91" s="21"/>
      <c r="B91" s="33" t="str">
        <f t="shared" si="4"/>
        <v/>
      </c>
      <c r="C91" s="17"/>
      <c r="D91" s="17"/>
      <c r="E91" s="17"/>
      <c r="F91" s="17"/>
      <c r="G91" s="17"/>
      <c r="H91" s="17"/>
      <c r="I91" s="17"/>
      <c r="J91" s="17"/>
      <c r="K91" s="23"/>
      <c r="L91" s="23"/>
      <c r="M91" s="35" t="str">
        <f t="shared" si="5"/>
        <v/>
      </c>
      <c r="N91" s="31"/>
      <c r="O91" s="35" t="str">
        <f t="shared" si="6"/>
        <v/>
      </c>
      <c r="P91" s="21"/>
      <c r="Q91" s="17"/>
      <c r="R91" s="17"/>
      <c r="S91" s="23"/>
      <c r="T91" s="35" t="str">
        <f t="shared" si="7"/>
        <v/>
      </c>
      <c r="U91" s="17"/>
      <c r="V91" s="17"/>
      <c r="W91" s="17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8" customHeight="1">
      <c r="A92" s="21"/>
      <c r="B92" s="33" t="str">
        <f t="shared" si="4"/>
        <v/>
      </c>
      <c r="C92" s="17"/>
      <c r="D92" s="17"/>
      <c r="E92" s="17"/>
      <c r="F92" s="17"/>
      <c r="G92" s="17"/>
      <c r="H92" s="17"/>
      <c r="I92" s="17"/>
      <c r="J92" s="17"/>
      <c r="K92" s="23"/>
      <c r="L92" s="23"/>
      <c r="M92" s="35" t="str">
        <f t="shared" si="5"/>
        <v/>
      </c>
      <c r="N92" s="31"/>
      <c r="O92" s="35" t="str">
        <f t="shared" si="6"/>
        <v/>
      </c>
      <c r="P92" s="21"/>
      <c r="Q92" s="17"/>
      <c r="R92" s="17"/>
      <c r="S92" s="23"/>
      <c r="T92" s="35" t="str">
        <f t="shared" si="7"/>
        <v/>
      </c>
      <c r="U92" s="17"/>
      <c r="V92" s="17"/>
      <c r="W92" s="17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8" customHeight="1">
      <c r="A93" s="21"/>
      <c r="B93" s="33" t="str">
        <f t="shared" si="4"/>
        <v/>
      </c>
      <c r="C93" s="17"/>
      <c r="D93" s="17"/>
      <c r="E93" s="17"/>
      <c r="F93" s="17"/>
      <c r="G93" s="17"/>
      <c r="H93" s="17"/>
      <c r="I93" s="17"/>
      <c r="J93" s="17"/>
      <c r="K93" s="23"/>
      <c r="L93" s="23"/>
      <c r="M93" s="35" t="str">
        <f t="shared" si="5"/>
        <v/>
      </c>
      <c r="N93" s="31"/>
      <c r="O93" s="35" t="str">
        <f t="shared" si="6"/>
        <v/>
      </c>
      <c r="P93" s="21"/>
      <c r="Q93" s="17"/>
      <c r="R93" s="17"/>
      <c r="S93" s="23"/>
      <c r="T93" s="35" t="str">
        <f t="shared" si="7"/>
        <v/>
      </c>
      <c r="U93" s="17"/>
      <c r="V93" s="17"/>
      <c r="W93" s="17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8" customHeight="1">
      <c r="A94" s="21"/>
      <c r="B94" s="33" t="str">
        <f t="shared" si="4"/>
        <v/>
      </c>
      <c r="C94" s="17"/>
      <c r="D94" s="17"/>
      <c r="E94" s="17"/>
      <c r="F94" s="17"/>
      <c r="G94" s="17"/>
      <c r="H94" s="17"/>
      <c r="I94" s="17"/>
      <c r="J94" s="17"/>
      <c r="K94" s="23"/>
      <c r="L94" s="23"/>
      <c r="M94" s="35" t="str">
        <f t="shared" si="5"/>
        <v/>
      </c>
      <c r="N94" s="31"/>
      <c r="O94" s="35" t="str">
        <f t="shared" si="6"/>
        <v/>
      </c>
      <c r="P94" s="21"/>
      <c r="Q94" s="17"/>
      <c r="R94" s="17"/>
      <c r="S94" s="23"/>
      <c r="T94" s="35" t="str">
        <f t="shared" si="7"/>
        <v/>
      </c>
      <c r="U94" s="17"/>
      <c r="V94" s="17"/>
      <c r="W94" s="17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8" customHeight="1">
      <c r="A95" s="21"/>
      <c r="B95" s="33" t="str">
        <f t="shared" si="4"/>
        <v/>
      </c>
      <c r="C95" s="17"/>
      <c r="D95" s="17"/>
      <c r="E95" s="17"/>
      <c r="F95" s="17"/>
      <c r="G95" s="17"/>
      <c r="H95" s="17"/>
      <c r="I95" s="17"/>
      <c r="J95" s="17"/>
      <c r="K95" s="23"/>
      <c r="L95" s="23"/>
      <c r="M95" s="35" t="str">
        <f t="shared" si="5"/>
        <v/>
      </c>
      <c r="N95" s="31"/>
      <c r="O95" s="35" t="str">
        <f t="shared" si="6"/>
        <v/>
      </c>
      <c r="P95" s="21"/>
      <c r="Q95" s="17"/>
      <c r="R95" s="17"/>
      <c r="S95" s="23"/>
      <c r="T95" s="35" t="str">
        <f t="shared" si="7"/>
        <v/>
      </c>
      <c r="U95" s="17"/>
      <c r="V95" s="17"/>
      <c r="W95" s="17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8" customHeight="1">
      <c r="A96" s="21"/>
      <c r="B96" s="33" t="str">
        <f t="shared" si="4"/>
        <v/>
      </c>
      <c r="C96" s="17"/>
      <c r="D96" s="17"/>
      <c r="E96" s="17"/>
      <c r="F96" s="17"/>
      <c r="G96" s="17"/>
      <c r="H96" s="17"/>
      <c r="I96" s="17"/>
      <c r="J96" s="17"/>
      <c r="K96" s="23"/>
      <c r="L96" s="23"/>
      <c r="M96" s="35" t="str">
        <f t="shared" si="5"/>
        <v/>
      </c>
      <c r="N96" s="31"/>
      <c r="O96" s="35" t="str">
        <f t="shared" si="6"/>
        <v/>
      </c>
      <c r="P96" s="21"/>
      <c r="Q96" s="17"/>
      <c r="R96" s="17"/>
      <c r="S96" s="23"/>
      <c r="T96" s="35" t="str">
        <f t="shared" si="7"/>
        <v/>
      </c>
      <c r="U96" s="17"/>
      <c r="V96" s="17"/>
      <c r="W96" s="17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8" customHeight="1">
      <c r="A97" s="21"/>
      <c r="B97" s="33" t="str">
        <f t="shared" si="4"/>
        <v/>
      </c>
      <c r="C97" s="17"/>
      <c r="D97" s="17"/>
      <c r="E97" s="17"/>
      <c r="F97" s="17"/>
      <c r="G97" s="17"/>
      <c r="H97" s="17"/>
      <c r="I97" s="17"/>
      <c r="J97" s="17"/>
      <c r="K97" s="23"/>
      <c r="L97" s="23"/>
      <c r="M97" s="35" t="str">
        <f t="shared" si="5"/>
        <v/>
      </c>
      <c r="N97" s="31"/>
      <c r="O97" s="35" t="str">
        <f t="shared" si="6"/>
        <v/>
      </c>
      <c r="P97" s="21"/>
      <c r="Q97" s="17"/>
      <c r="R97" s="17"/>
      <c r="S97" s="23"/>
      <c r="T97" s="35" t="str">
        <f t="shared" si="7"/>
        <v/>
      </c>
      <c r="U97" s="17"/>
      <c r="V97" s="17"/>
      <c r="W97" s="17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8" customHeight="1">
      <c r="A98" s="21"/>
      <c r="B98" s="33" t="str">
        <f t="shared" si="4"/>
        <v/>
      </c>
      <c r="C98" s="17"/>
      <c r="D98" s="17"/>
      <c r="E98" s="17"/>
      <c r="F98" s="17"/>
      <c r="G98" s="17"/>
      <c r="H98" s="17"/>
      <c r="I98" s="17"/>
      <c r="J98" s="17"/>
      <c r="K98" s="23"/>
      <c r="L98" s="23"/>
      <c r="M98" s="35" t="str">
        <f t="shared" si="5"/>
        <v/>
      </c>
      <c r="N98" s="31"/>
      <c r="O98" s="35" t="str">
        <f t="shared" si="6"/>
        <v/>
      </c>
      <c r="P98" s="21"/>
      <c r="Q98" s="17"/>
      <c r="R98" s="17"/>
      <c r="S98" s="23"/>
      <c r="T98" s="35" t="str">
        <f t="shared" si="7"/>
        <v/>
      </c>
      <c r="U98" s="17"/>
      <c r="V98" s="17"/>
      <c r="W98" s="17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8" customHeight="1">
      <c r="A99" s="21"/>
      <c r="B99" s="33" t="str">
        <f t="shared" si="4"/>
        <v/>
      </c>
      <c r="C99" s="17"/>
      <c r="D99" s="17"/>
      <c r="E99" s="17"/>
      <c r="F99" s="17"/>
      <c r="G99" s="17"/>
      <c r="H99" s="17"/>
      <c r="I99" s="17"/>
      <c r="J99" s="17"/>
      <c r="K99" s="23"/>
      <c r="L99" s="23"/>
      <c r="M99" s="35" t="str">
        <f t="shared" si="5"/>
        <v/>
      </c>
      <c r="N99" s="31"/>
      <c r="O99" s="35" t="str">
        <f t="shared" si="6"/>
        <v/>
      </c>
      <c r="P99" s="21"/>
      <c r="Q99" s="17"/>
      <c r="R99" s="17"/>
      <c r="S99" s="23"/>
      <c r="T99" s="35" t="str">
        <f t="shared" si="7"/>
        <v/>
      </c>
      <c r="U99" s="17"/>
      <c r="V99" s="17"/>
      <c r="W99" s="17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8" customHeight="1">
      <c r="A100" s="21"/>
      <c r="B100" s="33" t="str">
        <f t="shared" si="4"/>
        <v/>
      </c>
      <c r="C100" s="17"/>
      <c r="D100" s="17"/>
      <c r="E100" s="17"/>
      <c r="F100" s="17"/>
      <c r="G100" s="17"/>
      <c r="H100" s="17"/>
      <c r="I100" s="17"/>
      <c r="J100" s="17"/>
      <c r="K100" s="23"/>
      <c r="L100" s="23"/>
      <c r="M100" s="35" t="str">
        <f t="shared" si="5"/>
        <v/>
      </c>
      <c r="N100" s="31"/>
      <c r="O100" s="35" t="str">
        <f t="shared" si="6"/>
        <v/>
      </c>
      <c r="P100" s="21"/>
      <c r="Q100" s="17"/>
      <c r="R100" s="17"/>
      <c r="S100" s="23"/>
      <c r="T100" s="35" t="str">
        <f t="shared" si="7"/>
        <v/>
      </c>
      <c r="U100" s="17"/>
      <c r="V100" s="17"/>
      <c r="W100" s="17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8" customHeight="1">
      <c r="A101" s="21"/>
      <c r="B101" s="33" t="str">
        <f t="shared" si="4"/>
        <v/>
      </c>
      <c r="C101" s="17"/>
      <c r="D101" s="17"/>
      <c r="E101" s="17"/>
      <c r="F101" s="17"/>
      <c r="G101" s="17"/>
      <c r="H101" s="17"/>
      <c r="I101" s="17"/>
      <c r="J101" s="17"/>
      <c r="K101" s="23"/>
      <c r="L101" s="23"/>
      <c r="M101" s="35" t="str">
        <f t="shared" si="5"/>
        <v/>
      </c>
      <c r="N101" s="31"/>
      <c r="O101" s="35" t="str">
        <f t="shared" si="6"/>
        <v/>
      </c>
      <c r="P101" s="21"/>
      <c r="Q101" s="17"/>
      <c r="R101" s="17"/>
      <c r="S101" s="23"/>
      <c r="T101" s="35" t="str">
        <f t="shared" si="7"/>
        <v/>
      </c>
      <c r="U101" s="17"/>
      <c r="V101" s="17"/>
      <c r="W101" s="17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8" customHeight="1">
      <c r="A102" s="21"/>
      <c r="B102" s="33" t="str">
        <f t="shared" si="4"/>
        <v/>
      </c>
      <c r="C102" s="17"/>
      <c r="D102" s="17"/>
      <c r="E102" s="17"/>
      <c r="F102" s="17"/>
      <c r="G102" s="17"/>
      <c r="H102" s="17"/>
      <c r="I102" s="17"/>
      <c r="J102" s="17"/>
      <c r="K102" s="23"/>
      <c r="L102" s="23"/>
      <c r="M102" s="35" t="str">
        <f t="shared" si="5"/>
        <v/>
      </c>
      <c r="N102" s="31"/>
      <c r="O102" s="35" t="str">
        <f t="shared" si="6"/>
        <v/>
      </c>
      <c r="P102" s="21"/>
      <c r="Q102" s="17"/>
      <c r="R102" s="17"/>
      <c r="S102" s="23"/>
      <c r="T102" s="35" t="str">
        <f t="shared" si="7"/>
        <v/>
      </c>
      <c r="U102" s="17"/>
      <c r="V102" s="17"/>
      <c r="W102" s="17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8" customHeight="1">
      <c r="A103" s="21"/>
      <c r="B103" s="33" t="str">
        <f t="shared" si="4"/>
        <v/>
      </c>
      <c r="C103" s="17"/>
      <c r="D103" s="17"/>
      <c r="E103" s="17"/>
      <c r="F103" s="17"/>
      <c r="G103" s="17"/>
      <c r="H103" s="17"/>
      <c r="I103" s="17"/>
      <c r="J103" s="17"/>
      <c r="K103" s="23"/>
      <c r="L103" s="23"/>
      <c r="M103" s="35" t="str">
        <f t="shared" si="5"/>
        <v/>
      </c>
      <c r="N103" s="31"/>
      <c r="O103" s="35" t="str">
        <f t="shared" si="6"/>
        <v/>
      </c>
      <c r="P103" s="21"/>
      <c r="Q103" s="17"/>
      <c r="R103" s="17"/>
      <c r="S103" s="23"/>
      <c r="T103" s="35" t="str">
        <f t="shared" si="7"/>
        <v/>
      </c>
      <c r="U103" s="17"/>
      <c r="V103" s="17"/>
      <c r="W103" s="17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8" customHeight="1">
      <c r="A104" s="21"/>
      <c r="B104" s="33" t="str">
        <f t="shared" si="4"/>
        <v/>
      </c>
      <c r="C104" s="17"/>
      <c r="D104" s="17"/>
      <c r="E104" s="17"/>
      <c r="F104" s="17"/>
      <c r="G104" s="17"/>
      <c r="H104" s="17"/>
      <c r="I104" s="17"/>
      <c r="J104" s="17"/>
      <c r="K104" s="23"/>
      <c r="L104" s="23"/>
      <c r="M104" s="35" t="str">
        <f t="shared" si="5"/>
        <v/>
      </c>
      <c r="N104" s="31"/>
      <c r="O104" s="35" t="str">
        <f t="shared" si="6"/>
        <v/>
      </c>
      <c r="P104" s="21"/>
      <c r="Q104" s="17"/>
      <c r="R104" s="17"/>
      <c r="S104" s="23"/>
      <c r="T104" s="35" t="str">
        <f t="shared" si="7"/>
        <v/>
      </c>
      <c r="U104" s="17"/>
      <c r="V104" s="17"/>
      <c r="W104" s="17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8" customHeight="1">
      <c r="A105" s="21"/>
      <c r="B105" s="33" t="str">
        <f t="shared" si="4"/>
        <v/>
      </c>
      <c r="C105" s="17"/>
      <c r="D105" s="17"/>
      <c r="E105" s="17"/>
      <c r="F105" s="17"/>
      <c r="G105" s="17"/>
      <c r="H105" s="17"/>
      <c r="I105" s="17"/>
      <c r="J105" s="17"/>
      <c r="K105" s="23"/>
      <c r="L105" s="23"/>
      <c r="M105" s="35" t="str">
        <f t="shared" si="5"/>
        <v/>
      </c>
      <c r="N105" s="31"/>
      <c r="O105" s="35" t="str">
        <f t="shared" si="6"/>
        <v/>
      </c>
      <c r="P105" s="21"/>
      <c r="Q105" s="17"/>
      <c r="R105" s="17"/>
      <c r="S105" s="23"/>
      <c r="T105" s="35" t="str">
        <f t="shared" si="7"/>
        <v/>
      </c>
      <c r="U105" s="17"/>
      <c r="V105" s="17"/>
      <c r="W105" s="17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8" customHeight="1">
      <c r="A106" s="21"/>
      <c r="B106" s="33" t="str">
        <f t="shared" si="4"/>
        <v/>
      </c>
      <c r="C106" s="17"/>
      <c r="D106" s="17"/>
      <c r="E106" s="17"/>
      <c r="F106" s="17"/>
      <c r="G106" s="17"/>
      <c r="H106" s="17"/>
      <c r="I106" s="17"/>
      <c r="J106" s="17"/>
      <c r="K106" s="23"/>
      <c r="L106" s="23"/>
      <c r="M106" s="35" t="str">
        <f t="shared" si="5"/>
        <v/>
      </c>
      <c r="N106" s="31"/>
      <c r="O106" s="35" t="str">
        <f t="shared" si="6"/>
        <v/>
      </c>
      <c r="P106" s="21"/>
      <c r="Q106" s="17"/>
      <c r="R106" s="17"/>
      <c r="S106" s="23"/>
      <c r="T106" s="35" t="str">
        <f t="shared" si="7"/>
        <v/>
      </c>
      <c r="U106" s="17"/>
      <c r="V106" s="17"/>
      <c r="W106" s="17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8" customHeight="1">
      <c r="A107" s="21"/>
      <c r="B107" s="33" t="str">
        <f t="shared" si="4"/>
        <v/>
      </c>
      <c r="C107" s="17"/>
      <c r="D107" s="17"/>
      <c r="E107" s="17"/>
      <c r="F107" s="17"/>
      <c r="G107" s="17"/>
      <c r="H107" s="17"/>
      <c r="I107" s="17"/>
      <c r="J107" s="17"/>
      <c r="K107" s="23"/>
      <c r="L107" s="23"/>
      <c r="M107" s="35" t="str">
        <f t="shared" si="5"/>
        <v/>
      </c>
      <c r="N107" s="31"/>
      <c r="O107" s="35" t="str">
        <f t="shared" si="6"/>
        <v/>
      </c>
      <c r="P107" s="21"/>
      <c r="Q107" s="17"/>
      <c r="R107" s="17"/>
      <c r="S107" s="23"/>
      <c r="T107" s="35" t="str">
        <f t="shared" si="7"/>
        <v/>
      </c>
      <c r="U107" s="17"/>
      <c r="V107" s="17"/>
      <c r="W107" s="17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8" customHeight="1">
      <c r="A108" s="21"/>
      <c r="B108" s="33" t="str">
        <f t="shared" si="4"/>
        <v/>
      </c>
      <c r="C108" s="17"/>
      <c r="D108" s="17"/>
      <c r="E108" s="17"/>
      <c r="F108" s="17"/>
      <c r="G108" s="17"/>
      <c r="H108" s="17"/>
      <c r="I108" s="17"/>
      <c r="J108" s="17"/>
      <c r="K108" s="23"/>
      <c r="L108" s="23"/>
      <c r="M108" s="35" t="str">
        <f t="shared" si="5"/>
        <v/>
      </c>
      <c r="N108" s="31"/>
      <c r="O108" s="35" t="str">
        <f t="shared" si="6"/>
        <v/>
      </c>
      <c r="P108" s="21"/>
      <c r="Q108" s="17"/>
      <c r="R108" s="17"/>
      <c r="S108" s="23"/>
      <c r="T108" s="35" t="str">
        <f t="shared" si="7"/>
        <v/>
      </c>
      <c r="U108" s="17"/>
      <c r="V108" s="17"/>
      <c r="W108" s="17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8" customHeight="1">
      <c r="A109" s="21"/>
      <c r="B109" s="33" t="str">
        <f t="shared" si="4"/>
        <v/>
      </c>
      <c r="C109" s="17"/>
      <c r="D109" s="17"/>
      <c r="E109" s="17"/>
      <c r="F109" s="17"/>
      <c r="G109" s="17"/>
      <c r="H109" s="17"/>
      <c r="I109" s="17"/>
      <c r="J109" s="17"/>
      <c r="K109" s="23"/>
      <c r="L109" s="23"/>
      <c r="M109" s="35" t="str">
        <f t="shared" si="5"/>
        <v/>
      </c>
      <c r="N109" s="31"/>
      <c r="O109" s="35" t="str">
        <f t="shared" si="6"/>
        <v/>
      </c>
      <c r="P109" s="21"/>
      <c r="Q109" s="17"/>
      <c r="R109" s="17"/>
      <c r="S109" s="23"/>
      <c r="T109" s="35" t="str">
        <f t="shared" si="7"/>
        <v/>
      </c>
      <c r="U109" s="17"/>
      <c r="V109" s="17"/>
      <c r="W109" s="17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8" customHeight="1">
      <c r="A110" s="21"/>
      <c r="B110" s="33" t="str">
        <f t="shared" si="4"/>
        <v/>
      </c>
      <c r="C110" s="17"/>
      <c r="D110" s="17"/>
      <c r="E110" s="17"/>
      <c r="F110" s="17"/>
      <c r="G110" s="17"/>
      <c r="H110" s="17"/>
      <c r="I110" s="17"/>
      <c r="J110" s="17"/>
      <c r="K110" s="23"/>
      <c r="L110" s="23"/>
      <c r="M110" s="35" t="str">
        <f t="shared" si="5"/>
        <v/>
      </c>
      <c r="N110" s="31"/>
      <c r="O110" s="35" t="str">
        <f t="shared" si="6"/>
        <v/>
      </c>
      <c r="P110" s="21"/>
      <c r="Q110" s="17"/>
      <c r="R110" s="17"/>
      <c r="S110" s="23"/>
      <c r="T110" s="35" t="str">
        <f t="shared" si="7"/>
        <v/>
      </c>
      <c r="U110" s="17"/>
      <c r="V110" s="17"/>
      <c r="W110" s="17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8" customHeight="1">
      <c r="A111" s="21"/>
      <c r="B111" s="33" t="str">
        <f t="shared" si="4"/>
        <v/>
      </c>
      <c r="C111" s="17"/>
      <c r="D111" s="17"/>
      <c r="E111" s="17"/>
      <c r="F111" s="17"/>
      <c r="G111" s="17"/>
      <c r="H111" s="17"/>
      <c r="I111" s="17"/>
      <c r="J111" s="17"/>
      <c r="K111" s="23"/>
      <c r="L111" s="23"/>
      <c r="M111" s="35" t="str">
        <f t="shared" si="5"/>
        <v/>
      </c>
      <c r="N111" s="31"/>
      <c r="O111" s="35" t="str">
        <f t="shared" si="6"/>
        <v/>
      </c>
      <c r="P111" s="21"/>
      <c r="Q111" s="17"/>
      <c r="R111" s="17"/>
      <c r="S111" s="23"/>
      <c r="T111" s="35" t="str">
        <f t="shared" si="7"/>
        <v/>
      </c>
      <c r="U111" s="17"/>
      <c r="V111" s="17"/>
      <c r="W111" s="17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8" customHeight="1">
      <c r="A112" s="21"/>
      <c r="B112" s="33" t="str">
        <f t="shared" si="4"/>
        <v/>
      </c>
      <c r="C112" s="17"/>
      <c r="D112" s="17"/>
      <c r="E112" s="17"/>
      <c r="F112" s="17"/>
      <c r="G112" s="17"/>
      <c r="H112" s="17"/>
      <c r="I112" s="17"/>
      <c r="J112" s="17"/>
      <c r="K112" s="23"/>
      <c r="L112" s="23"/>
      <c r="M112" s="35" t="str">
        <f t="shared" si="5"/>
        <v/>
      </c>
      <c r="N112" s="31"/>
      <c r="O112" s="35" t="str">
        <f t="shared" si="6"/>
        <v/>
      </c>
      <c r="P112" s="21"/>
      <c r="Q112" s="17"/>
      <c r="R112" s="17"/>
      <c r="S112" s="23"/>
      <c r="T112" s="35" t="str">
        <f t="shared" si="7"/>
        <v/>
      </c>
      <c r="U112" s="17"/>
      <c r="V112" s="17"/>
      <c r="W112" s="17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8" customHeight="1">
      <c r="A113" s="21"/>
      <c r="B113" s="33" t="str">
        <f t="shared" si="4"/>
        <v/>
      </c>
      <c r="C113" s="17"/>
      <c r="D113" s="17"/>
      <c r="E113" s="17"/>
      <c r="F113" s="17"/>
      <c r="G113" s="17"/>
      <c r="H113" s="17"/>
      <c r="I113" s="17"/>
      <c r="J113" s="17"/>
      <c r="K113" s="23"/>
      <c r="L113" s="23"/>
      <c r="M113" s="35" t="str">
        <f t="shared" si="5"/>
        <v/>
      </c>
      <c r="N113" s="31"/>
      <c r="O113" s="35" t="str">
        <f t="shared" si="6"/>
        <v/>
      </c>
      <c r="P113" s="21"/>
      <c r="Q113" s="17"/>
      <c r="R113" s="17"/>
      <c r="S113" s="23"/>
      <c r="T113" s="35" t="str">
        <f t="shared" si="7"/>
        <v/>
      </c>
      <c r="U113" s="17"/>
      <c r="V113" s="17"/>
      <c r="W113" s="17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8" customHeight="1">
      <c r="A114" s="21"/>
      <c r="B114" s="33" t="str">
        <f t="shared" si="4"/>
        <v/>
      </c>
      <c r="C114" s="17"/>
      <c r="D114" s="17"/>
      <c r="E114" s="17"/>
      <c r="F114" s="17"/>
      <c r="G114" s="17"/>
      <c r="H114" s="17"/>
      <c r="I114" s="17"/>
      <c r="J114" s="17"/>
      <c r="K114" s="23"/>
      <c r="L114" s="23"/>
      <c r="M114" s="35" t="str">
        <f t="shared" si="5"/>
        <v/>
      </c>
      <c r="N114" s="31"/>
      <c r="O114" s="35" t="str">
        <f t="shared" si="6"/>
        <v/>
      </c>
      <c r="P114" s="21"/>
      <c r="Q114" s="17"/>
      <c r="R114" s="17"/>
      <c r="S114" s="23"/>
      <c r="T114" s="35" t="str">
        <f t="shared" si="7"/>
        <v/>
      </c>
      <c r="U114" s="17"/>
      <c r="V114" s="17"/>
      <c r="W114" s="17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8" customHeight="1">
      <c r="A115" s="21"/>
      <c r="B115" s="33" t="str">
        <f t="shared" si="4"/>
        <v/>
      </c>
      <c r="C115" s="17"/>
      <c r="D115" s="17"/>
      <c r="E115" s="17"/>
      <c r="F115" s="17"/>
      <c r="G115" s="17"/>
      <c r="H115" s="17"/>
      <c r="I115" s="17"/>
      <c r="J115" s="17"/>
      <c r="K115" s="23"/>
      <c r="L115" s="23"/>
      <c r="M115" s="35" t="str">
        <f t="shared" si="5"/>
        <v/>
      </c>
      <c r="N115" s="31"/>
      <c r="O115" s="35" t="str">
        <f t="shared" si="6"/>
        <v/>
      </c>
      <c r="P115" s="21"/>
      <c r="Q115" s="17"/>
      <c r="R115" s="17"/>
      <c r="S115" s="23"/>
      <c r="T115" s="35" t="str">
        <f t="shared" si="7"/>
        <v/>
      </c>
      <c r="U115" s="17"/>
      <c r="V115" s="17"/>
      <c r="W115" s="17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8" customHeight="1">
      <c r="A116" s="21"/>
      <c r="B116" s="33" t="str">
        <f t="shared" si="4"/>
        <v/>
      </c>
      <c r="C116" s="17"/>
      <c r="D116" s="17"/>
      <c r="E116" s="17"/>
      <c r="F116" s="17"/>
      <c r="G116" s="17"/>
      <c r="H116" s="17"/>
      <c r="I116" s="17"/>
      <c r="J116" s="17"/>
      <c r="K116" s="23"/>
      <c r="L116" s="23"/>
      <c r="M116" s="35" t="str">
        <f t="shared" si="5"/>
        <v/>
      </c>
      <c r="N116" s="31"/>
      <c r="O116" s="35" t="str">
        <f t="shared" si="6"/>
        <v/>
      </c>
      <c r="P116" s="21"/>
      <c r="Q116" s="17"/>
      <c r="R116" s="17"/>
      <c r="S116" s="23"/>
      <c r="T116" s="35" t="str">
        <f t="shared" si="7"/>
        <v/>
      </c>
      <c r="U116" s="17"/>
      <c r="V116" s="17"/>
      <c r="W116" s="17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8" customHeight="1">
      <c r="A117" s="21"/>
      <c r="B117" s="33" t="str">
        <f t="shared" si="4"/>
        <v/>
      </c>
      <c r="C117" s="17"/>
      <c r="D117" s="17"/>
      <c r="E117" s="17"/>
      <c r="F117" s="17"/>
      <c r="G117" s="17"/>
      <c r="H117" s="17"/>
      <c r="I117" s="17"/>
      <c r="J117" s="17"/>
      <c r="K117" s="23"/>
      <c r="L117" s="23"/>
      <c r="M117" s="35" t="str">
        <f t="shared" si="5"/>
        <v/>
      </c>
      <c r="N117" s="31"/>
      <c r="O117" s="35" t="str">
        <f t="shared" si="6"/>
        <v/>
      </c>
      <c r="P117" s="21"/>
      <c r="Q117" s="17"/>
      <c r="R117" s="17"/>
      <c r="S117" s="23"/>
      <c r="T117" s="35" t="str">
        <f t="shared" si="7"/>
        <v/>
      </c>
      <c r="U117" s="17"/>
      <c r="V117" s="17"/>
      <c r="W117" s="17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8" customHeight="1">
      <c r="A118" s="21"/>
      <c r="B118" s="33" t="str">
        <f t="shared" si="4"/>
        <v/>
      </c>
      <c r="C118" s="17"/>
      <c r="D118" s="17"/>
      <c r="E118" s="17"/>
      <c r="F118" s="17"/>
      <c r="G118" s="17"/>
      <c r="H118" s="17"/>
      <c r="I118" s="17"/>
      <c r="J118" s="17"/>
      <c r="K118" s="23"/>
      <c r="L118" s="23"/>
      <c r="M118" s="35" t="str">
        <f t="shared" si="5"/>
        <v/>
      </c>
      <c r="N118" s="31"/>
      <c r="O118" s="35" t="str">
        <f t="shared" si="6"/>
        <v/>
      </c>
      <c r="P118" s="21"/>
      <c r="Q118" s="17"/>
      <c r="R118" s="17"/>
      <c r="S118" s="23"/>
      <c r="T118" s="35" t="str">
        <f t="shared" si="7"/>
        <v/>
      </c>
      <c r="U118" s="17"/>
      <c r="V118" s="17"/>
      <c r="W118" s="17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8" customHeight="1">
      <c r="A119" s="21"/>
      <c r="B119" s="33" t="str">
        <f t="shared" si="4"/>
        <v/>
      </c>
      <c r="C119" s="17"/>
      <c r="D119" s="17"/>
      <c r="E119" s="17"/>
      <c r="F119" s="17"/>
      <c r="G119" s="17"/>
      <c r="H119" s="17"/>
      <c r="I119" s="17"/>
      <c r="J119" s="17"/>
      <c r="K119" s="23"/>
      <c r="L119" s="23"/>
      <c r="M119" s="35" t="str">
        <f t="shared" si="5"/>
        <v/>
      </c>
      <c r="N119" s="31"/>
      <c r="O119" s="35" t="str">
        <f t="shared" si="6"/>
        <v/>
      </c>
      <c r="P119" s="21"/>
      <c r="Q119" s="17"/>
      <c r="R119" s="17"/>
      <c r="S119" s="23"/>
      <c r="T119" s="35" t="str">
        <f t="shared" si="7"/>
        <v/>
      </c>
      <c r="U119" s="17"/>
      <c r="V119" s="17"/>
      <c r="W119" s="17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8" customHeight="1">
      <c r="A120" s="21"/>
      <c r="B120" s="33" t="str">
        <f t="shared" si="4"/>
        <v/>
      </c>
      <c r="C120" s="17"/>
      <c r="D120" s="17"/>
      <c r="E120" s="17"/>
      <c r="F120" s="17"/>
      <c r="G120" s="17"/>
      <c r="H120" s="17"/>
      <c r="I120" s="17"/>
      <c r="J120" s="17"/>
      <c r="K120" s="23"/>
      <c r="L120" s="23"/>
      <c r="M120" s="35" t="str">
        <f t="shared" si="5"/>
        <v/>
      </c>
      <c r="N120" s="31"/>
      <c r="O120" s="35" t="str">
        <f t="shared" si="6"/>
        <v/>
      </c>
      <c r="P120" s="21"/>
      <c r="Q120" s="17"/>
      <c r="R120" s="17"/>
      <c r="S120" s="23"/>
      <c r="T120" s="35" t="str">
        <f t="shared" si="7"/>
        <v/>
      </c>
      <c r="U120" s="17"/>
      <c r="V120" s="17"/>
      <c r="W120" s="17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8" customHeight="1">
      <c r="A121" s="21"/>
      <c r="B121" s="33" t="str">
        <f t="shared" si="4"/>
        <v/>
      </c>
      <c r="C121" s="17"/>
      <c r="D121" s="17"/>
      <c r="E121" s="17"/>
      <c r="F121" s="17"/>
      <c r="G121" s="17"/>
      <c r="H121" s="17"/>
      <c r="I121" s="17"/>
      <c r="J121" s="17"/>
      <c r="K121" s="23"/>
      <c r="L121" s="23"/>
      <c r="M121" s="35" t="str">
        <f t="shared" si="5"/>
        <v/>
      </c>
      <c r="N121" s="31"/>
      <c r="O121" s="35" t="str">
        <f t="shared" si="6"/>
        <v/>
      </c>
      <c r="P121" s="21"/>
      <c r="Q121" s="17"/>
      <c r="R121" s="17"/>
      <c r="S121" s="23"/>
      <c r="T121" s="35" t="str">
        <f t="shared" si="7"/>
        <v/>
      </c>
      <c r="U121" s="17"/>
      <c r="V121" s="17"/>
      <c r="W121" s="17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8" customHeight="1">
      <c r="A122" s="21"/>
      <c r="B122" s="33" t="str">
        <f t="shared" si="4"/>
        <v/>
      </c>
      <c r="C122" s="17"/>
      <c r="D122" s="17"/>
      <c r="E122" s="17"/>
      <c r="F122" s="17"/>
      <c r="G122" s="17"/>
      <c r="H122" s="17"/>
      <c r="I122" s="17"/>
      <c r="J122" s="17"/>
      <c r="K122" s="23"/>
      <c r="L122" s="23"/>
      <c r="M122" s="35" t="str">
        <f t="shared" si="5"/>
        <v/>
      </c>
      <c r="N122" s="31"/>
      <c r="O122" s="35" t="str">
        <f t="shared" si="6"/>
        <v/>
      </c>
      <c r="P122" s="21"/>
      <c r="Q122" s="17"/>
      <c r="R122" s="17"/>
      <c r="S122" s="23"/>
      <c r="T122" s="35" t="str">
        <f t="shared" si="7"/>
        <v/>
      </c>
      <c r="U122" s="17"/>
      <c r="V122" s="17"/>
      <c r="W122" s="17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8" customHeight="1">
      <c r="A123" s="21"/>
      <c r="B123" s="33" t="str">
        <f t="shared" si="4"/>
        <v/>
      </c>
      <c r="C123" s="17"/>
      <c r="D123" s="17"/>
      <c r="E123" s="17"/>
      <c r="F123" s="17"/>
      <c r="G123" s="17"/>
      <c r="H123" s="17"/>
      <c r="I123" s="17"/>
      <c r="J123" s="17"/>
      <c r="K123" s="23"/>
      <c r="L123" s="23"/>
      <c r="M123" s="35" t="str">
        <f t="shared" si="5"/>
        <v/>
      </c>
      <c r="N123" s="31"/>
      <c r="O123" s="35" t="str">
        <f t="shared" si="6"/>
        <v/>
      </c>
      <c r="P123" s="21"/>
      <c r="Q123" s="17"/>
      <c r="R123" s="17"/>
      <c r="S123" s="23"/>
      <c r="T123" s="35" t="str">
        <f t="shared" si="7"/>
        <v/>
      </c>
      <c r="U123" s="17"/>
      <c r="V123" s="17"/>
      <c r="W123" s="17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8" customHeight="1">
      <c r="A124" s="21"/>
      <c r="B124" s="33" t="str">
        <f t="shared" si="4"/>
        <v/>
      </c>
      <c r="C124" s="17"/>
      <c r="D124" s="17"/>
      <c r="E124" s="17"/>
      <c r="F124" s="17"/>
      <c r="G124" s="17"/>
      <c r="H124" s="17"/>
      <c r="I124" s="17"/>
      <c r="J124" s="17"/>
      <c r="K124" s="23"/>
      <c r="L124" s="23"/>
      <c r="M124" s="35" t="str">
        <f t="shared" si="5"/>
        <v/>
      </c>
      <c r="N124" s="31"/>
      <c r="O124" s="35" t="str">
        <f t="shared" si="6"/>
        <v/>
      </c>
      <c r="P124" s="21"/>
      <c r="Q124" s="17"/>
      <c r="R124" s="17"/>
      <c r="S124" s="23"/>
      <c r="T124" s="35" t="str">
        <f t="shared" si="7"/>
        <v/>
      </c>
      <c r="U124" s="17"/>
      <c r="V124" s="17"/>
      <c r="W124" s="17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8" customHeight="1">
      <c r="A125" s="21"/>
      <c r="B125" s="33" t="str">
        <f t="shared" si="4"/>
        <v/>
      </c>
      <c r="C125" s="17"/>
      <c r="D125" s="17"/>
      <c r="E125" s="17"/>
      <c r="F125" s="17"/>
      <c r="G125" s="17"/>
      <c r="H125" s="17"/>
      <c r="I125" s="17"/>
      <c r="J125" s="17"/>
      <c r="K125" s="23"/>
      <c r="L125" s="23"/>
      <c r="M125" s="35" t="str">
        <f t="shared" si="5"/>
        <v/>
      </c>
      <c r="N125" s="31"/>
      <c r="O125" s="35" t="str">
        <f t="shared" si="6"/>
        <v/>
      </c>
      <c r="P125" s="21"/>
      <c r="Q125" s="17"/>
      <c r="R125" s="17"/>
      <c r="S125" s="23"/>
      <c r="T125" s="35" t="str">
        <f t="shared" si="7"/>
        <v/>
      </c>
      <c r="U125" s="17"/>
      <c r="V125" s="17"/>
      <c r="W125" s="17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8" customHeight="1">
      <c r="A126" s="21"/>
      <c r="B126" s="33" t="str">
        <f t="shared" si="4"/>
        <v/>
      </c>
      <c r="C126" s="17"/>
      <c r="D126" s="17"/>
      <c r="E126" s="17"/>
      <c r="F126" s="17"/>
      <c r="G126" s="17"/>
      <c r="H126" s="17"/>
      <c r="I126" s="17"/>
      <c r="J126" s="17"/>
      <c r="K126" s="23"/>
      <c r="L126" s="23"/>
      <c r="M126" s="35" t="str">
        <f t="shared" si="5"/>
        <v/>
      </c>
      <c r="N126" s="31"/>
      <c r="O126" s="35" t="str">
        <f t="shared" si="6"/>
        <v/>
      </c>
      <c r="P126" s="21"/>
      <c r="Q126" s="17"/>
      <c r="R126" s="17"/>
      <c r="S126" s="23"/>
      <c r="T126" s="35" t="str">
        <f t="shared" si="7"/>
        <v/>
      </c>
      <c r="U126" s="17"/>
      <c r="V126" s="17"/>
      <c r="W126" s="17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8" customHeight="1">
      <c r="A127" s="21"/>
      <c r="B127" s="33" t="str">
        <f t="shared" si="4"/>
        <v/>
      </c>
      <c r="C127" s="17"/>
      <c r="D127" s="17"/>
      <c r="E127" s="17"/>
      <c r="F127" s="17"/>
      <c r="G127" s="17"/>
      <c r="H127" s="17"/>
      <c r="I127" s="17"/>
      <c r="J127" s="17"/>
      <c r="K127" s="23"/>
      <c r="L127" s="23"/>
      <c r="M127" s="35" t="str">
        <f t="shared" si="5"/>
        <v/>
      </c>
      <c r="N127" s="31"/>
      <c r="O127" s="35" t="str">
        <f t="shared" si="6"/>
        <v/>
      </c>
      <c r="P127" s="21"/>
      <c r="Q127" s="17"/>
      <c r="R127" s="17"/>
      <c r="S127" s="23"/>
      <c r="T127" s="35" t="str">
        <f t="shared" si="7"/>
        <v/>
      </c>
      <c r="U127" s="17"/>
      <c r="V127" s="17"/>
      <c r="W127" s="17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8" customHeight="1">
      <c r="A128" s="21"/>
      <c r="B128" s="33" t="str">
        <f t="shared" si="4"/>
        <v/>
      </c>
      <c r="C128" s="17"/>
      <c r="D128" s="17"/>
      <c r="E128" s="17"/>
      <c r="F128" s="17"/>
      <c r="G128" s="17"/>
      <c r="H128" s="17"/>
      <c r="I128" s="17"/>
      <c r="J128" s="17"/>
      <c r="K128" s="23"/>
      <c r="L128" s="23"/>
      <c r="M128" s="35" t="str">
        <f t="shared" si="5"/>
        <v/>
      </c>
      <c r="N128" s="31"/>
      <c r="O128" s="35" t="str">
        <f t="shared" si="6"/>
        <v/>
      </c>
      <c r="P128" s="21"/>
      <c r="Q128" s="17"/>
      <c r="R128" s="17"/>
      <c r="S128" s="23"/>
      <c r="T128" s="35" t="str">
        <f t="shared" si="7"/>
        <v/>
      </c>
      <c r="U128" s="17"/>
      <c r="V128" s="17"/>
      <c r="W128" s="17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8" customHeight="1">
      <c r="A129" s="21"/>
      <c r="B129" s="33" t="str">
        <f t="shared" si="4"/>
        <v/>
      </c>
      <c r="C129" s="17"/>
      <c r="D129" s="17"/>
      <c r="E129" s="17"/>
      <c r="F129" s="17"/>
      <c r="G129" s="17"/>
      <c r="H129" s="17"/>
      <c r="I129" s="17"/>
      <c r="J129" s="17"/>
      <c r="K129" s="23"/>
      <c r="L129" s="23"/>
      <c r="M129" s="35" t="str">
        <f t="shared" si="5"/>
        <v/>
      </c>
      <c r="N129" s="31"/>
      <c r="O129" s="35" t="str">
        <f t="shared" si="6"/>
        <v/>
      </c>
      <c r="P129" s="21"/>
      <c r="Q129" s="17"/>
      <c r="R129" s="17"/>
      <c r="S129" s="23"/>
      <c r="T129" s="35" t="str">
        <f t="shared" si="7"/>
        <v/>
      </c>
      <c r="U129" s="17"/>
      <c r="V129" s="17"/>
      <c r="W129" s="17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8" customHeight="1">
      <c r="A130" s="21"/>
      <c r="B130" s="33" t="str">
        <f t="shared" si="4"/>
        <v/>
      </c>
      <c r="C130" s="17"/>
      <c r="D130" s="17"/>
      <c r="E130" s="17"/>
      <c r="F130" s="17"/>
      <c r="G130" s="17"/>
      <c r="H130" s="17"/>
      <c r="I130" s="17"/>
      <c r="J130" s="17"/>
      <c r="K130" s="23"/>
      <c r="L130" s="23"/>
      <c r="M130" s="35" t="str">
        <f t="shared" si="5"/>
        <v/>
      </c>
      <c r="N130" s="31"/>
      <c r="O130" s="35" t="str">
        <f t="shared" si="6"/>
        <v/>
      </c>
      <c r="P130" s="21"/>
      <c r="Q130" s="17"/>
      <c r="R130" s="17"/>
      <c r="S130" s="23"/>
      <c r="T130" s="35" t="str">
        <f t="shared" si="7"/>
        <v/>
      </c>
      <c r="U130" s="17"/>
      <c r="V130" s="17"/>
      <c r="W130" s="17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8" customHeight="1">
      <c r="A131" s="21"/>
      <c r="B131" s="33" t="str">
        <f t="shared" si="4"/>
        <v/>
      </c>
      <c r="C131" s="17"/>
      <c r="D131" s="17"/>
      <c r="E131" s="17"/>
      <c r="F131" s="17"/>
      <c r="G131" s="17"/>
      <c r="H131" s="17"/>
      <c r="I131" s="17"/>
      <c r="J131" s="17"/>
      <c r="K131" s="23"/>
      <c r="L131" s="23"/>
      <c r="M131" s="35" t="str">
        <f t="shared" si="5"/>
        <v/>
      </c>
      <c r="N131" s="31"/>
      <c r="O131" s="35" t="str">
        <f t="shared" si="6"/>
        <v/>
      </c>
      <c r="P131" s="21"/>
      <c r="Q131" s="17"/>
      <c r="R131" s="17"/>
      <c r="S131" s="23"/>
      <c r="T131" s="35" t="str">
        <f t="shared" si="7"/>
        <v/>
      </c>
      <c r="U131" s="17"/>
      <c r="V131" s="17"/>
      <c r="W131" s="17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8" customHeight="1">
      <c r="A132" s="21"/>
      <c r="B132" s="33" t="str">
        <f t="shared" si="4"/>
        <v/>
      </c>
      <c r="C132" s="17"/>
      <c r="D132" s="17"/>
      <c r="E132" s="17"/>
      <c r="F132" s="17"/>
      <c r="G132" s="17"/>
      <c r="H132" s="17"/>
      <c r="I132" s="17"/>
      <c r="J132" s="17"/>
      <c r="K132" s="23"/>
      <c r="L132" s="23"/>
      <c r="M132" s="35" t="str">
        <f t="shared" si="5"/>
        <v/>
      </c>
      <c r="N132" s="31"/>
      <c r="O132" s="35" t="str">
        <f t="shared" si="6"/>
        <v/>
      </c>
      <c r="P132" s="21"/>
      <c r="Q132" s="17"/>
      <c r="R132" s="17"/>
      <c r="S132" s="23"/>
      <c r="T132" s="35" t="str">
        <f t="shared" si="7"/>
        <v/>
      </c>
      <c r="U132" s="17"/>
      <c r="V132" s="17"/>
      <c r="W132" s="17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8" customHeight="1">
      <c r="A133" s="21"/>
      <c r="B133" s="33" t="str">
        <f t="shared" si="4"/>
        <v/>
      </c>
      <c r="C133" s="17"/>
      <c r="D133" s="17"/>
      <c r="E133" s="17"/>
      <c r="F133" s="17"/>
      <c r="G133" s="17"/>
      <c r="H133" s="17"/>
      <c r="I133" s="17"/>
      <c r="J133" s="17"/>
      <c r="K133" s="23"/>
      <c r="L133" s="23"/>
      <c r="M133" s="35" t="str">
        <f t="shared" si="5"/>
        <v/>
      </c>
      <c r="N133" s="31"/>
      <c r="O133" s="35" t="str">
        <f t="shared" si="6"/>
        <v/>
      </c>
      <c r="P133" s="21"/>
      <c r="Q133" s="17"/>
      <c r="R133" s="17"/>
      <c r="S133" s="23"/>
      <c r="T133" s="35" t="str">
        <f t="shared" si="7"/>
        <v/>
      </c>
      <c r="U133" s="17"/>
      <c r="V133" s="17"/>
      <c r="W133" s="17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8" customHeight="1">
      <c r="A134" s="21"/>
      <c r="B134" s="33" t="str">
        <f t="shared" si="4"/>
        <v/>
      </c>
      <c r="C134" s="17"/>
      <c r="D134" s="17"/>
      <c r="E134" s="17"/>
      <c r="F134" s="17"/>
      <c r="G134" s="17"/>
      <c r="H134" s="17"/>
      <c r="I134" s="17"/>
      <c r="J134" s="17"/>
      <c r="K134" s="23"/>
      <c r="L134" s="23"/>
      <c r="M134" s="35" t="str">
        <f t="shared" si="5"/>
        <v/>
      </c>
      <c r="N134" s="31"/>
      <c r="O134" s="35" t="str">
        <f t="shared" si="6"/>
        <v/>
      </c>
      <c r="P134" s="21"/>
      <c r="Q134" s="17"/>
      <c r="R134" s="17"/>
      <c r="S134" s="23"/>
      <c r="T134" s="35" t="str">
        <f t="shared" si="7"/>
        <v/>
      </c>
      <c r="U134" s="17"/>
      <c r="V134" s="17"/>
      <c r="W134" s="17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8" customHeight="1">
      <c r="A135" s="21"/>
      <c r="B135" s="33" t="str">
        <f t="shared" ref="B135:B198" si="8">IF(A135="","",DATE(YEAR(A135),MONTH(A135),1))</f>
        <v/>
      </c>
      <c r="C135" s="17"/>
      <c r="D135" s="17"/>
      <c r="E135" s="17"/>
      <c r="F135" s="17"/>
      <c r="G135" s="17"/>
      <c r="H135" s="17"/>
      <c r="I135" s="17"/>
      <c r="J135" s="17"/>
      <c r="K135" s="23"/>
      <c r="L135" s="23"/>
      <c r="M135" s="35" t="str">
        <f t="shared" ref="M135:M198" si="9">IF(K135="","",K135+IF(L135="",0,L135))</f>
        <v/>
      </c>
      <c r="N135" s="31"/>
      <c r="O135" s="35" t="str">
        <f t="shared" ref="O135:O198" si="10">IF(M135="","",M135-IF(N135="",0,N135))</f>
        <v/>
      </c>
      <c r="P135" s="21"/>
      <c r="Q135" s="17"/>
      <c r="R135" s="17"/>
      <c r="S135" s="23"/>
      <c r="T135" s="35" t="str">
        <f t="shared" ref="T135:T198" si="11">IF(OR(K135="",S135=""),"",K135-S135)</f>
        <v/>
      </c>
      <c r="U135" s="17"/>
      <c r="V135" s="17"/>
      <c r="W135" s="17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8" customHeight="1">
      <c r="A136" s="21"/>
      <c r="B136" s="33" t="str">
        <f t="shared" si="8"/>
        <v/>
      </c>
      <c r="C136" s="17"/>
      <c r="D136" s="17"/>
      <c r="E136" s="17"/>
      <c r="F136" s="17"/>
      <c r="G136" s="17"/>
      <c r="H136" s="17"/>
      <c r="I136" s="17"/>
      <c r="J136" s="17"/>
      <c r="K136" s="23"/>
      <c r="L136" s="23"/>
      <c r="M136" s="35" t="str">
        <f t="shared" si="9"/>
        <v/>
      </c>
      <c r="N136" s="31"/>
      <c r="O136" s="35" t="str">
        <f t="shared" si="10"/>
        <v/>
      </c>
      <c r="P136" s="21"/>
      <c r="Q136" s="17"/>
      <c r="R136" s="17"/>
      <c r="S136" s="23"/>
      <c r="T136" s="35" t="str">
        <f t="shared" si="11"/>
        <v/>
      </c>
      <c r="U136" s="17"/>
      <c r="V136" s="17"/>
      <c r="W136" s="17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8" customHeight="1">
      <c r="A137" s="21"/>
      <c r="B137" s="33" t="str">
        <f t="shared" si="8"/>
        <v/>
      </c>
      <c r="C137" s="17"/>
      <c r="D137" s="17"/>
      <c r="E137" s="17"/>
      <c r="F137" s="17"/>
      <c r="G137" s="17"/>
      <c r="H137" s="17"/>
      <c r="I137" s="17"/>
      <c r="J137" s="17"/>
      <c r="K137" s="23"/>
      <c r="L137" s="23"/>
      <c r="M137" s="35" t="str">
        <f t="shared" si="9"/>
        <v/>
      </c>
      <c r="N137" s="31"/>
      <c r="O137" s="35" t="str">
        <f t="shared" si="10"/>
        <v/>
      </c>
      <c r="P137" s="21"/>
      <c r="Q137" s="17"/>
      <c r="R137" s="17"/>
      <c r="S137" s="23"/>
      <c r="T137" s="35" t="str">
        <f t="shared" si="11"/>
        <v/>
      </c>
      <c r="U137" s="17"/>
      <c r="V137" s="17"/>
      <c r="W137" s="17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8" customHeight="1">
      <c r="A138" s="21"/>
      <c r="B138" s="33" t="str">
        <f t="shared" si="8"/>
        <v/>
      </c>
      <c r="C138" s="17"/>
      <c r="D138" s="17"/>
      <c r="E138" s="17"/>
      <c r="F138" s="17"/>
      <c r="G138" s="17"/>
      <c r="H138" s="17"/>
      <c r="I138" s="17"/>
      <c r="J138" s="17"/>
      <c r="K138" s="23"/>
      <c r="L138" s="23"/>
      <c r="M138" s="35" t="str">
        <f t="shared" si="9"/>
        <v/>
      </c>
      <c r="N138" s="31"/>
      <c r="O138" s="35" t="str">
        <f t="shared" si="10"/>
        <v/>
      </c>
      <c r="P138" s="21"/>
      <c r="Q138" s="17"/>
      <c r="R138" s="17"/>
      <c r="S138" s="23"/>
      <c r="T138" s="35" t="str">
        <f t="shared" si="11"/>
        <v/>
      </c>
      <c r="U138" s="17"/>
      <c r="V138" s="17"/>
      <c r="W138" s="17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8" customHeight="1">
      <c r="A139" s="21"/>
      <c r="B139" s="33" t="str">
        <f t="shared" si="8"/>
        <v/>
      </c>
      <c r="C139" s="17"/>
      <c r="D139" s="17"/>
      <c r="E139" s="17"/>
      <c r="F139" s="17"/>
      <c r="G139" s="17"/>
      <c r="H139" s="17"/>
      <c r="I139" s="17"/>
      <c r="J139" s="17"/>
      <c r="K139" s="23"/>
      <c r="L139" s="23"/>
      <c r="M139" s="35" t="str">
        <f t="shared" si="9"/>
        <v/>
      </c>
      <c r="N139" s="31"/>
      <c r="O139" s="35" t="str">
        <f t="shared" si="10"/>
        <v/>
      </c>
      <c r="P139" s="21"/>
      <c r="Q139" s="17"/>
      <c r="R139" s="17"/>
      <c r="S139" s="23"/>
      <c r="T139" s="35" t="str">
        <f t="shared" si="11"/>
        <v/>
      </c>
      <c r="U139" s="17"/>
      <c r="V139" s="17"/>
      <c r="W139" s="17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8" customHeight="1">
      <c r="A140" s="21"/>
      <c r="B140" s="33" t="str">
        <f t="shared" si="8"/>
        <v/>
      </c>
      <c r="C140" s="17"/>
      <c r="D140" s="17"/>
      <c r="E140" s="17"/>
      <c r="F140" s="17"/>
      <c r="G140" s="17"/>
      <c r="H140" s="17"/>
      <c r="I140" s="17"/>
      <c r="J140" s="17"/>
      <c r="K140" s="23"/>
      <c r="L140" s="23"/>
      <c r="M140" s="35" t="str">
        <f t="shared" si="9"/>
        <v/>
      </c>
      <c r="N140" s="31"/>
      <c r="O140" s="35" t="str">
        <f t="shared" si="10"/>
        <v/>
      </c>
      <c r="P140" s="21"/>
      <c r="Q140" s="17"/>
      <c r="R140" s="17"/>
      <c r="S140" s="23"/>
      <c r="T140" s="35" t="str">
        <f t="shared" si="11"/>
        <v/>
      </c>
      <c r="U140" s="17"/>
      <c r="V140" s="17"/>
      <c r="W140" s="17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8" customHeight="1">
      <c r="A141" s="21"/>
      <c r="B141" s="33" t="str">
        <f t="shared" si="8"/>
        <v/>
      </c>
      <c r="C141" s="17"/>
      <c r="D141" s="17"/>
      <c r="E141" s="17"/>
      <c r="F141" s="17"/>
      <c r="G141" s="17"/>
      <c r="H141" s="17"/>
      <c r="I141" s="17"/>
      <c r="J141" s="17"/>
      <c r="K141" s="23"/>
      <c r="L141" s="23"/>
      <c r="M141" s="35" t="str">
        <f t="shared" si="9"/>
        <v/>
      </c>
      <c r="N141" s="31"/>
      <c r="O141" s="35" t="str">
        <f t="shared" si="10"/>
        <v/>
      </c>
      <c r="P141" s="21"/>
      <c r="Q141" s="17"/>
      <c r="R141" s="17"/>
      <c r="S141" s="23"/>
      <c r="T141" s="35" t="str">
        <f t="shared" si="11"/>
        <v/>
      </c>
      <c r="U141" s="17"/>
      <c r="V141" s="17"/>
      <c r="W141" s="17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8" customHeight="1">
      <c r="A142" s="21"/>
      <c r="B142" s="33" t="str">
        <f t="shared" si="8"/>
        <v/>
      </c>
      <c r="C142" s="17"/>
      <c r="D142" s="17"/>
      <c r="E142" s="17"/>
      <c r="F142" s="17"/>
      <c r="G142" s="17"/>
      <c r="H142" s="17"/>
      <c r="I142" s="17"/>
      <c r="J142" s="17"/>
      <c r="K142" s="23"/>
      <c r="L142" s="23"/>
      <c r="M142" s="35" t="str">
        <f t="shared" si="9"/>
        <v/>
      </c>
      <c r="N142" s="31"/>
      <c r="O142" s="35" t="str">
        <f t="shared" si="10"/>
        <v/>
      </c>
      <c r="P142" s="21"/>
      <c r="Q142" s="17"/>
      <c r="R142" s="17"/>
      <c r="S142" s="23"/>
      <c r="T142" s="35" t="str">
        <f t="shared" si="11"/>
        <v/>
      </c>
      <c r="U142" s="17"/>
      <c r="V142" s="17"/>
      <c r="W142" s="17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8" customHeight="1">
      <c r="A143" s="21"/>
      <c r="B143" s="33" t="str">
        <f t="shared" si="8"/>
        <v/>
      </c>
      <c r="C143" s="17"/>
      <c r="D143" s="17"/>
      <c r="E143" s="17"/>
      <c r="F143" s="17"/>
      <c r="G143" s="17"/>
      <c r="H143" s="17"/>
      <c r="I143" s="17"/>
      <c r="J143" s="17"/>
      <c r="K143" s="23"/>
      <c r="L143" s="23"/>
      <c r="M143" s="35" t="str">
        <f t="shared" si="9"/>
        <v/>
      </c>
      <c r="N143" s="31"/>
      <c r="O143" s="35" t="str">
        <f t="shared" si="10"/>
        <v/>
      </c>
      <c r="P143" s="21"/>
      <c r="Q143" s="17"/>
      <c r="R143" s="17"/>
      <c r="S143" s="23"/>
      <c r="T143" s="35" t="str">
        <f t="shared" si="11"/>
        <v/>
      </c>
      <c r="U143" s="17"/>
      <c r="V143" s="17"/>
      <c r="W143" s="17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8" customHeight="1">
      <c r="A144" s="21"/>
      <c r="B144" s="33" t="str">
        <f t="shared" si="8"/>
        <v/>
      </c>
      <c r="C144" s="17"/>
      <c r="D144" s="17"/>
      <c r="E144" s="17"/>
      <c r="F144" s="17"/>
      <c r="G144" s="17"/>
      <c r="H144" s="17"/>
      <c r="I144" s="17"/>
      <c r="J144" s="17"/>
      <c r="K144" s="23"/>
      <c r="L144" s="23"/>
      <c r="M144" s="35" t="str">
        <f t="shared" si="9"/>
        <v/>
      </c>
      <c r="N144" s="31"/>
      <c r="O144" s="35" t="str">
        <f t="shared" si="10"/>
        <v/>
      </c>
      <c r="P144" s="21"/>
      <c r="Q144" s="17"/>
      <c r="R144" s="17"/>
      <c r="S144" s="23"/>
      <c r="T144" s="35" t="str">
        <f t="shared" si="11"/>
        <v/>
      </c>
      <c r="U144" s="17"/>
      <c r="V144" s="17"/>
      <c r="W144" s="17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8" customHeight="1">
      <c r="A145" s="21"/>
      <c r="B145" s="33" t="str">
        <f t="shared" si="8"/>
        <v/>
      </c>
      <c r="C145" s="17"/>
      <c r="D145" s="17"/>
      <c r="E145" s="17"/>
      <c r="F145" s="17"/>
      <c r="G145" s="17"/>
      <c r="H145" s="17"/>
      <c r="I145" s="17"/>
      <c r="J145" s="17"/>
      <c r="K145" s="23"/>
      <c r="L145" s="23"/>
      <c r="M145" s="35" t="str">
        <f t="shared" si="9"/>
        <v/>
      </c>
      <c r="N145" s="31"/>
      <c r="O145" s="35" t="str">
        <f t="shared" si="10"/>
        <v/>
      </c>
      <c r="P145" s="21"/>
      <c r="Q145" s="17"/>
      <c r="R145" s="17"/>
      <c r="S145" s="23"/>
      <c r="T145" s="35" t="str">
        <f t="shared" si="11"/>
        <v/>
      </c>
      <c r="U145" s="17"/>
      <c r="V145" s="17"/>
      <c r="W145" s="17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8" customHeight="1">
      <c r="A146" s="21"/>
      <c r="B146" s="33" t="str">
        <f t="shared" si="8"/>
        <v/>
      </c>
      <c r="C146" s="17"/>
      <c r="D146" s="17"/>
      <c r="E146" s="17"/>
      <c r="F146" s="17"/>
      <c r="G146" s="17"/>
      <c r="H146" s="17"/>
      <c r="I146" s="17"/>
      <c r="J146" s="17"/>
      <c r="K146" s="23"/>
      <c r="L146" s="23"/>
      <c r="M146" s="35" t="str">
        <f t="shared" si="9"/>
        <v/>
      </c>
      <c r="N146" s="31"/>
      <c r="O146" s="35" t="str">
        <f t="shared" si="10"/>
        <v/>
      </c>
      <c r="P146" s="21"/>
      <c r="Q146" s="17"/>
      <c r="R146" s="17"/>
      <c r="S146" s="23"/>
      <c r="T146" s="35" t="str">
        <f t="shared" si="11"/>
        <v/>
      </c>
      <c r="U146" s="17"/>
      <c r="V146" s="17"/>
      <c r="W146" s="17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8" customHeight="1">
      <c r="A147" s="21"/>
      <c r="B147" s="33" t="str">
        <f t="shared" si="8"/>
        <v/>
      </c>
      <c r="C147" s="17"/>
      <c r="D147" s="17"/>
      <c r="E147" s="17"/>
      <c r="F147" s="17"/>
      <c r="G147" s="17"/>
      <c r="H147" s="17"/>
      <c r="I147" s="17"/>
      <c r="J147" s="17"/>
      <c r="K147" s="23"/>
      <c r="L147" s="23"/>
      <c r="M147" s="35" t="str">
        <f t="shared" si="9"/>
        <v/>
      </c>
      <c r="N147" s="31"/>
      <c r="O147" s="35" t="str">
        <f t="shared" si="10"/>
        <v/>
      </c>
      <c r="P147" s="21"/>
      <c r="Q147" s="17"/>
      <c r="R147" s="17"/>
      <c r="S147" s="23"/>
      <c r="T147" s="35" t="str">
        <f t="shared" si="11"/>
        <v/>
      </c>
      <c r="U147" s="17"/>
      <c r="V147" s="17"/>
      <c r="W147" s="17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8" customHeight="1">
      <c r="A148" s="21"/>
      <c r="B148" s="33" t="str">
        <f t="shared" si="8"/>
        <v/>
      </c>
      <c r="C148" s="17"/>
      <c r="D148" s="17"/>
      <c r="E148" s="17"/>
      <c r="F148" s="17"/>
      <c r="G148" s="17"/>
      <c r="H148" s="17"/>
      <c r="I148" s="17"/>
      <c r="J148" s="17"/>
      <c r="K148" s="23"/>
      <c r="L148" s="23"/>
      <c r="M148" s="35" t="str">
        <f t="shared" si="9"/>
        <v/>
      </c>
      <c r="N148" s="31"/>
      <c r="O148" s="35" t="str">
        <f t="shared" si="10"/>
        <v/>
      </c>
      <c r="P148" s="21"/>
      <c r="Q148" s="17"/>
      <c r="R148" s="17"/>
      <c r="S148" s="23"/>
      <c r="T148" s="35" t="str">
        <f t="shared" si="11"/>
        <v/>
      </c>
      <c r="U148" s="17"/>
      <c r="V148" s="17"/>
      <c r="W148" s="17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8" customHeight="1">
      <c r="A149" s="21"/>
      <c r="B149" s="33" t="str">
        <f t="shared" si="8"/>
        <v/>
      </c>
      <c r="C149" s="17"/>
      <c r="D149" s="17"/>
      <c r="E149" s="17"/>
      <c r="F149" s="17"/>
      <c r="G149" s="17"/>
      <c r="H149" s="17"/>
      <c r="I149" s="17"/>
      <c r="J149" s="17"/>
      <c r="K149" s="23"/>
      <c r="L149" s="23"/>
      <c r="M149" s="35" t="str">
        <f t="shared" si="9"/>
        <v/>
      </c>
      <c r="N149" s="31"/>
      <c r="O149" s="35" t="str">
        <f t="shared" si="10"/>
        <v/>
      </c>
      <c r="P149" s="21"/>
      <c r="Q149" s="17"/>
      <c r="R149" s="17"/>
      <c r="S149" s="23"/>
      <c r="T149" s="35" t="str">
        <f t="shared" si="11"/>
        <v/>
      </c>
      <c r="U149" s="17"/>
      <c r="V149" s="17"/>
      <c r="W149" s="17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8" customHeight="1">
      <c r="A150" s="21"/>
      <c r="B150" s="33" t="str">
        <f t="shared" si="8"/>
        <v/>
      </c>
      <c r="C150" s="17"/>
      <c r="D150" s="17"/>
      <c r="E150" s="17"/>
      <c r="F150" s="17"/>
      <c r="G150" s="17"/>
      <c r="H150" s="17"/>
      <c r="I150" s="17"/>
      <c r="J150" s="17"/>
      <c r="K150" s="23"/>
      <c r="L150" s="23"/>
      <c r="M150" s="35" t="str">
        <f t="shared" si="9"/>
        <v/>
      </c>
      <c r="N150" s="31"/>
      <c r="O150" s="35" t="str">
        <f t="shared" si="10"/>
        <v/>
      </c>
      <c r="P150" s="21"/>
      <c r="Q150" s="17"/>
      <c r="R150" s="17"/>
      <c r="S150" s="23"/>
      <c r="T150" s="35" t="str">
        <f t="shared" si="11"/>
        <v/>
      </c>
      <c r="U150" s="17"/>
      <c r="V150" s="17"/>
      <c r="W150" s="17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8" customHeight="1">
      <c r="A151" s="21"/>
      <c r="B151" s="33" t="str">
        <f t="shared" si="8"/>
        <v/>
      </c>
      <c r="C151" s="17"/>
      <c r="D151" s="17"/>
      <c r="E151" s="17"/>
      <c r="F151" s="17"/>
      <c r="G151" s="17"/>
      <c r="H151" s="17"/>
      <c r="I151" s="17"/>
      <c r="J151" s="17"/>
      <c r="K151" s="23"/>
      <c r="L151" s="23"/>
      <c r="M151" s="35" t="str">
        <f t="shared" si="9"/>
        <v/>
      </c>
      <c r="N151" s="31"/>
      <c r="O151" s="35" t="str">
        <f t="shared" si="10"/>
        <v/>
      </c>
      <c r="P151" s="21"/>
      <c r="Q151" s="17"/>
      <c r="R151" s="17"/>
      <c r="S151" s="23"/>
      <c r="T151" s="35" t="str">
        <f t="shared" si="11"/>
        <v/>
      </c>
      <c r="U151" s="17"/>
      <c r="V151" s="17"/>
      <c r="W151" s="17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8" customHeight="1">
      <c r="A152" s="21"/>
      <c r="B152" s="33" t="str">
        <f t="shared" si="8"/>
        <v/>
      </c>
      <c r="C152" s="17"/>
      <c r="D152" s="17"/>
      <c r="E152" s="17"/>
      <c r="F152" s="17"/>
      <c r="G152" s="17"/>
      <c r="H152" s="17"/>
      <c r="I152" s="17"/>
      <c r="J152" s="17"/>
      <c r="K152" s="23"/>
      <c r="L152" s="23"/>
      <c r="M152" s="35" t="str">
        <f t="shared" si="9"/>
        <v/>
      </c>
      <c r="N152" s="31"/>
      <c r="O152" s="35" t="str">
        <f t="shared" si="10"/>
        <v/>
      </c>
      <c r="P152" s="21"/>
      <c r="Q152" s="17"/>
      <c r="R152" s="17"/>
      <c r="S152" s="23"/>
      <c r="T152" s="35" t="str">
        <f t="shared" si="11"/>
        <v/>
      </c>
      <c r="U152" s="17"/>
      <c r="V152" s="17"/>
      <c r="W152" s="17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8" customHeight="1">
      <c r="A153" s="21"/>
      <c r="B153" s="33" t="str">
        <f t="shared" si="8"/>
        <v/>
      </c>
      <c r="C153" s="17"/>
      <c r="D153" s="17"/>
      <c r="E153" s="17"/>
      <c r="F153" s="17"/>
      <c r="G153" s="17"/>
      <c r="H153" s="17"/>
      <c r="I153" s="17"/>
      <c r="J153" s="17"/>
      <c r="K153" s="23"/>
      <c r="L153" s="23"/>
      <c r="M153" s="35" t="str">
        <f t="shared" si="9"/>
        <v/>
      </c>
      <c r="N153" s="31"/>
      <c r="O153" s="35" t="str">
        <f t="shared" si="10"/>
        <v/>
      </c>
      <c r="P153" s="21"/>
      <c r="Q153" s="17"/>
      <c r="R153" s="17"/>
      <c r="S153" s="23"/>
      <c r="T153" s="35" t="str">
        <f t="shared" si="11"/>
        <v/>
      </c>
      <c r="U153" s="17"/>
      <c r="V153" s="17"/>
      <c r="W153" s="17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8" customHeight="1">
      <c r="A154" s="21"/>
      <c r="B154" s="33" t="str">
        <f t="shared" si="8"/>
        <v/>
      </c>
      <c r="C154" s="17"/>
      <c r="D154" s="17"/>
      <c r="E154" s="17"/>
      <c r="F154" s="17"/>
      <c r="G154" s="17"/>
      <c r="H154" s="17"/>
      <c r="I154" s="17"/>
      <c r="J154" s="17"/>
      <c r="K154" s="23"/>
      <c r="L154" s="23"/>
      <c r="M154" s="35" t="str">
        <f t="shared" si="9"/>
        <v/>
      </c>
      <c r="N154" s="31"/>
      <c r="O154" s="35" t="str">
        <f t="shared" si="10"/>
        <v/>
      </c>
      <c r="P154" s="21"/>
      <c r="Q154" s="17"/>
      <c r="R154" s="17"/>
      <c r="S154" s="23"/>
      <c r="T154" s="35" t="str">
        <f t="shared" si="11"/>
        <v/>
      </c>
      <c r="U154" s="17"/>
      <c r="V154" s="17"/>
      <c r="W154" s="17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8" customHeight="1">
      <c r="A155" s="21"/>
      <c r="B155" s="33" t="str">
        <f t="shared" si="8"/>
        <v/>
      </c>
      <c r="C155" s="17"/>
      <c r="D155" s="17"/>
      <c r="E155" s="17"/>
      <c r="F155" s="17"/>
      <c r="G155" s="17"/>
      <c r="H155" s="17"/>
      <c r="I155" s="17"/>
      <c r="J155" s="17"/>
      <c r="K155" s="23"/>
      <c r="L155" s="23"/>
      <c r="M155" s="35" t="str">
        <f t="shared" si="9"/>
        <v/>
      </c>
      <c r="N155" s="31"/>
      <c r="O155" s="35" t="str">
        <f t="shared" si="10"/>
        <v/>
      </c>
      <c r="P155" s="21"/>
      <c r="Q155" s="17"/>
      <c r="R155" s="17"/>
      <c r="S155" s="23"/>
      <c r="T155" s="35" t="str">
        <f t="shared" si="11"/>
        <v/>
      </c>
      <c r="U155" s="17"/>
      <c r="V155" s="17"/>
      <c r="W155" s="17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8" customHeight="1">
      <c r="A156" s="21"/>
      <c r="B156" s="33" t="str">
        <f t="shared" si="8"/>
        <v/>
      </c>
      <c r="C156" s="17"/>
      <c r="D156" s="17"/>
      <c r="E156" s="17"/>
      <c r="F156" s="17"/>
      <c r="G156" s="17"/>
      <c r="H156" s="17"/>
      <c r="I156" s="17"/>
      <c r="J156" s="17"/>
      <c r="K156" s="23"/>
      <c r="L156" s="23"/>
      <c r="M156" s="35" t="str">
        <f t="shared" si="9"/>
        <v/>
      </c>
      <c r="N156" s="31"/>
      <c r="O156" s="35" t="str">
        <f t="shared" si="10"/>
        <v/>
      </c>
      <c r="P156" s="21"/>
      <c r="Q156" s="17"/>
      <c r="R156" s="17"/>
      <c r="S156" s="23"/>
      <c r="T156" s="35" t="str">
        <f t="shared" si="11"/>
        <v/>
      </c>
      <c r="U156" s="17"/>
      <c r="V156" s="17"/>
      <c r="W156" s="17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8" customHeight="1">
      <c r="A157" s="21"/>
      <c r="B157" s="33" t="str">
        <f t="shared" si="8"/>
        <v/>
      </c>
      <c r="C157" s="17"/>
      <c r="D157" s="17"/>
      <c r="E157" s="17"/>
      <c r="F157" s="17"/>
      <c r="G157" s="17"/>
      <c r="H157" s="17"/>
      <c r="I157" s="17"/>
      <c r="J157" s="17"/>
      <c r="K157" s="23"/>
      <c r="L157" s="23"/>
      <c r="M157" s="35" t="str">
        <f t="shared" si="9"/>
        <v/>
      </c>
      <c r="N157" s="31"/>
      <c r="O157" s="35" t="str">
        <f t="shared" si="10"/>
        <v/>
      </c>
      <c r="P157" s="21"/>
      <c r="Q157" s="17"/>
      <c r="R157" s="17"/>
      <c r="S157" s="23"/>
      <c r="T157" s="35" t="str">
        <f t="shared" si="11"/>
        <v/>
      </c>
      <c r="U157" s="17"/>
      <c r="V157" s="17"/>
      <c r="W157" s="17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8" customHeight="1">
      <c r="A158" s="21"/>
      <c r="B158" s="33" t="str">
        <f t="shared" si="8"/>
        <v/>
      </c>
      <c r="C158" s="17"/>
      <c r="D158" s="17"/>
      <c r="E158" s="17"/>
      <c r="F158" s="17"/>
      <c r="G158" s="17"/>
      <c r="H158" s="17"/>
      <c r="I158" s="17"/>
      <c r="J158" s="17"/>
      <c r="K158" s="23"/>
      <c r="L158" s="23"/>
      <c r="M158" s="35" t="str">
        <f t="shared" si="9"/>
        <v/>
      </c>
      <c r="N158" s="31"/>
      <c r="O158" s="35" t="str">
        <f t="shared" si="10"/>
        <v/>
      </c>
      <c r="P158" s="21"/>
      <c r="Q158" s="17"/>
      <c r="R158" s="17"/>
      <c r="S158" s="23"/>
      <c r="T158" s="35" t="str">
        <f t="shared" si="11"/>
        <v/>
      </c>
      <c r="U158" s="17"/>
      <c r="V158" s="17"/>
      <c r="W158" s="17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8" customHeight="1">
      <c r="A159" s="21"/>
      <c r="B159" s="33" t="str">
        <f t="shared" si="8"/>
        <v/>
      </c>
      <c r="C159" s="17"/>
      <c r="D159" s="17"/>
      <c r="E159" s="17"/>
      <c r="F159" s="17"/>
      <c r="G159" s="17"/>
      <c r="H159" s="17"/>
      <c r="I159" s="17"/>
      <c r="J159" s="17"/>
      <c r="K159" s="23"/>
      <c r="L159" s="23"/>
      <c r="M159" s="35" t="str">
        <f t="shared" si="9"/>
        <v/>
      </c>
      <c r="N159" s="31"/>
      <c r="O159" s="35" t="str">
        <f t="shared" si="10"/>
        <v/>
      </c>
      <c r="P159" s="21"/>
      <c r="Q159" s="17"/>
      <c r="R159" s="17"/>
      <c r="S159" s="23"/>
      <c r="T159" s="35" t="str">
        <f t="shared" si="11"/>
        <v/>
      </c>
      <c r="U159" s="17"/>
      <c r="V159" s="17"/>
      <c r="W159" s="17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8" customHeight="1">
      <c r="A160" s="21"/>
      <c r="B160" s="33" t="str">
        <f t="shared" si="8"/>
        <v/>
      </c>
      <c r="C160" s="17"/>
      <c r="D160" s="17"/>
      <c r="E160" s="17"/>
      <c r="F160" s="17"/>
      <c r="G160" s="17"/>
      <c r="H160" s="17"/>
      <c r="I160" s="17"/>
      <c r="J160" s="17"/>
      <c r="K160" s="23"/>
      <c r="L160" s="23"/>
      <c r="M160" s="35" t="str">
        <f t="shared" si="9"/>
        <v/>
      </c>
      <c r="N160" s="31"/>
      <c r="O160" s="35" t="str">
        <f t="shared" si="10"/>
        <v/>
      </c>
      <c r="P160" s="21"/>
      <c r="Q160" s="17"/>
      <c r="R160" s="17"/>
      <c r="S160" s="23"/>
      <c r="T160" s="35" t="str">
        <f t="shared" si="11"/>
        <v/>
      </c>
      <c r="U160" s="17"/>
      <c r="V160" s="17"/>
      <c r="W160" s="17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8" customHeight="1">
      <c r="A161" s="21"/>
      <c r="B161" s="33" t="str">
        <f t="shared" si="8"/>
        <v/>
      </c>
      <c r="C161" s="17"/>
      <c r="D161" s="17"/>
      <c r="E161" s="17"/>
      <c r="F161" s="17"/>
      <c r="G161" s="17"/>
      <c r="H161" s="17"/>
      <c r="I161" s="17"/>
      <c r="J161" s="17"/>
      <c r="K161" s="23"/>
      <c r="L161" s="23"/>
      <c r="M161" s="35" t="str">
        <f t="shared" si="9"/>
        <v/>
      </c>
      <c r="N161" s="31"/>
      <c r="O161" s="35" t="str">
        <f t="shared" si="10"/>
        <v/>
      </c>
      <c r="P161" s="21"/>
      <c r="Q161" s="17"/>
      <c r="R161" s="17"/>
      <c r="S161" s="23"/>
      <c r="T161" s="35" t="str">
        <f t="shared" si="11"/>
        <v/>
      </c>
      <c r="U161" s="17"/>
      <c r="V161" s="17"/>
      <c r="W161" s="17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8" customHeight="1">
      <c r="A162" s="21"/>
      <c r="B162" s="33" t="str">
        <f t="shared" si="8"/>
        <v/>
      </c>
      <c r="C162" s="17"/>
      <c r="D162" s="17"/>
      <c r="E162" s="17"/>
      <c r="F162" s="17"/>
      <c r="G162" s="17"/>
      <c r="H162" s="17"/>
      <c r="I162" s="17"/>
      <c r="J162" s="17"/>
      <c r="K162" s="23"/>
      <c r="L162" s="23"/>
      <c r="M162" s="35" t="str">
        <f t="shared" si="9"/>
        <v/>
      </c>
      <c r="N162" s="31"/>
      <c r="O162" s="35" t="str">
        <f t="shared" si="10"/>
        <v/>
      </c>
      <c r="P162" s="21"/>
      <c r="Q162" s="17"/>
      <c r="R162" s="17"/>
      <c r="S162" s="23"/>
      <c r="T162" s="35" t="str">
        <f t="shared" si="11"/>
        <v/>
      </c>
      <c r="U162" s="17"/>
      <c r="V162" s="17"/>
      <c r="W162" s="17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8" customHeight="1">
      <c r="A163" s="21"/>
      <c r="B163" s="33" t="str">
        <f t="shared" si="8"/>
        <v/>
      </c>
      <c r="C163" s="17"/>
      <c r="D163" s="17"/>
      <c r="E163" s="17"/>
      <c r="F163" s="17"/>
      <c r="G163" s="17"/>
      <c r="H163" s="17"/>
      <c r="I163" s="17"/>
      <c r="J163" s="17"/>
      <c r="K163" s="23"/>
      <c r="L163" s="23"/>
      <c r="M163" s="35" t="str">
        <f t="shared" si="9"/>
        <v/>
      </c>
      <c r="N163" s="31"/>
      <c r="O163" s="35" t="str">
        <f t="shared" si="10"/>
        <v/>
      </c>
      <c r="P163" s="21"/>
      <c r="Q163" s="17"/>
      <c r="R163" s="17"/>
      <c r="S163" s="23"/>
      <c r="T163" s="35" t="str">
        <f t="shared" si="11"/>
        <v/>
      </c>
      <c r="U163" s="17"/>
      <c r="V163" s="17"/>
      <c r="W163" s="17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8" customHeight="1">
      <c r="A164" s="21"/>
      <c r="B164" s="33" t="str">
        <f t="shared" si="8"/>
        <v/>
      </c>
      <c r="C164" s="17"/>
      <c r="D164" s="17"/>
      <c r="E164" s="17"/>
      <c r="F164" s="17"/>
      <c r="G164" s="17"/>
      <c r="H164" s="17"/>
      <c r="I164" s="17"/>
      <c r="J164" s="17"/>
      <c r="K164" s="23"/>
      <c r="L164" s="23"/>
      <c r="M164" s="35" t="str">
        <f t="shared" si="9"/>
        <v/>
      </c>
      <c r="N164" s="31"/>
      <c r="O164" s="35" t="str">
        <f t="shared" si="10"/>
        <v/>
      </c>
      <c r="P164" s="21"/>
      <c r="Q164" s="17"/>
      <c r="R164" s="17"/>
      <c r="S164" s="23"/>
      <c r="T164" s="35" t="str">
        <f t="shared" si="11"/>
        <v/>
      </c>
      <c r="U164" s="17"/>
      <c r="V164" s="17"/>
      <c r="W164" s="17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8" customHeight="1">
      <c r="A165" s="21"/>
      <c r="B165" s="33" t="str">
        <f t="shared" si="8"/>
        <v/>
      </c>
      <c r="C165" s="17"/>
      <c r="D165" s="17"/>
      <c r="E165" s="17"/>
      <c r="F165" s="17"/>
      <c r="G165" s="17"/>
      <c r="H165" s="17"/>
      <c r="I165" s="17"/>
      <c r="J165" s="17"/>
      <c r="K165" s="23"/>
      <c r="L165" s="23"/>
      <c r="M165" s="35" t="str">
        <f t="shared" si="9"/>
        <v/>
      </c>
      <c r="N165" s="31"/>
      <c r="O165" s="35" t="str">
        <f t="shared" si="10"/>
        <v/>
      </c>
      <c r="P165" s="21"/>
      <c r="Q165" s="17"/>
      <c r="R165" s="17"/>
      <c r="S165" s="23"/>
      <c r="T165" s="35" t="str">
        <f t="shared" si="11"/>
        <v/>
      </c>
      <c r="U165" s="17"/>
      <c r="V165" s="17"/>
      <c r="W165" s="17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8" customHeight="1">
      <c r="A166" s="21"/>
      <c r="B166" s="33" t="str">
        <f t="shared" si="8"/>
        <v/>
      </c>
      <c r="C166" s="17"/>
      <c r="D166" s="17"/>
      <c r="E166" s="17"/>
      <c r="F166" s="17"/>
      <c r="G166" s="17"/>
      <c r="H166" s="17"/>
      <c r="I166" s="17"/>
      <c r="J166" s="17"/>
      <c r="K166" s="23"/>
      <c r="L166" s="23"/>
      <c r="M166" s="35" t="str">
        <f t="shared" si="9"/>
        <v/>
      </c>
      <c r="N166" s="31"/>
      <c r="O166" s="35" t="str">
        <f t="shared" si="10"/>
        <v/>
      </c>
      <c r="P166" s="21"/>
      <c r="Q166" s="17"/>
      <c r="R166" s="17"/>
      <c r="S166" s="23"/>
      <c r="T166" s="35" t="str">
        <f t="shared" si="11"/>
        <v/>
      </c>
      <c r="U166" s="17"/>
      <c r="V166" s="17"/>
      <c r="W166" s="17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8" customHeight="1">
      <c r="A167" s="21"/>
      <c r="B167" s="33" t="str">
        <f t="shared" si="8"/>
        <v/>
      </c>
      <c r="C167" s="17"/>
      <c r="D167" s="17"/>
      <c r="E167" s="17"/>
      <c r="F167" s="17"/>
      <c r="G167" s="17"/>
      <c r="H167" s="17"/>
      <c r="I167" s="17"/>
      <c r="J167" s="17"/>
      <c r="K167" s="23"/>
      <c r="L167" s="23"/>
      <c r="M167" s="35" t="str">
        <f t="shared" si="9"/>
        <v/>
      </c>
      <c r="N167" s="31"/>
      <c r="O167" s="35" t="str">
        <f t="shared" si="10"/>
        <v/>
      </c>
      <c r="P167" s="21"/>
      <c r="Q167" s="17"/>
      <c r="R167" s="17"/>
      <c r="S167" s="23"/>
      <c r="T167" s="35" t="str">
        <f t="shared" si="11"/>
        <v/>
      </c>
      <c r="U167" s="17"/>
      <c r="V167" s="17"/>
      <c r="W167" s="17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8" customHeight="1">
      <c r="A168" s="21"/>
      <c r="B168" s="33" t="str">
        <f t="shared" si="8"/>
        <v/>
      </c>
      <c r="C168" s="17"/>
      <c r="D168" s="17"/>
      <c r="E168" s="17"/>
      <c r="F168" s="17"/>
      <c r="G168" s="17"/>
      <c r="H168" s="17"/>
      <c r="I168" s="17"/>
      <c r="J168" s="17"/>
      <c r="K168" s="23"/>
      <c r="L168" s="23"/>
      <c r="M168" s="35" t="str">
        <f t="shared" si="9"/>
        <v/>
      </c>
      <c r="N168" s="31"/>
      <c r="O168" s="35" t="str">
        <f t="shared" si="10"/>
        <v/>
      </c>
      <c r="P168" s="21"/>
      <c r="Q168" s="17"/>
      <c r="R168" s="17"/>
      <c r="S168" s="23"/>
      <c r="T168" s="35" t="str">
        <f t="shared" si="11"/>
        <v/>
      </c>
      <c r="U168" s="17"/>
      <c r="V168" s="17"/>
      <c r="W168" s="17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8" customHeight="1">
      <c r="A169" s="21"/>
      <c r="B169" s="33" t="str">
        <f t="shared" si="8"/>
        <v/>
      </c>
      <c r="C169" s="17"/>
      <c r="D169" s="17"/>
      <c r="E169" s="17"/>
      <c r="F169" s="17"/>
      <c r="G169" s="17"/>
      <c r="H169" s="17"/>
      <c r="I169" s="17"/>
      <c r="J169" s="17"/>
      <c r="K169" s="23"/>
      <c r="L169" s="23"/>
      <c r="M169" s="35" t="str">
        <f t="shared" si="9"/>
        <v/>
      </c>
      <c r="N169" s="31"/>
      <c r="O169" s="35" t="str">
        <f t="shared" si="10"/>
        <v/>
      </c>
      <c r="P169" s="21"/>
      <c r="Q169" s="17"/>
      <c r="R169" s="17"/>
      <c r="S169" s="23"/>
      <c r="T169" s="35" t="str">
        <f t="shared" si="11"/>
        <v/>
      </c>
      <c r="U169" s="17"/>
      <c r="V169" s="17"/>
      <c r="W169" s="17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8" customHeight="1">
      <c r="A170" s="21"/>
      <c r="B170" s="33" t="str">
        <f t="shared" si="8"/>
        <v/>
      </c>
      <c r="C170" s="17"/>
      <c r="D170" s="17"/>
      <c r="E170" s="17"/>
      <c r="F170" s="17"/>
      <c r="G170" s="17"/>
      <c r="H170" s="17"/>
      <c r="I170" s="17"/>
      <c r="J170" s="17"/>
      <c r="K170" s="23"/>
      <c r="L170" s="23"/>
      <c r="M170" s="35" t="str">
        <f t="shared" si="9"/>
        <v/>
      </c>
      <c r="N170" s="31"/>
      <c r="O170" s="35" t="str">
        <f t="shared" si="10"/>
        <v/>
      </c>
      <c r="P170" s="21"/>
      <c r="Q170" s="17"/>
      <c r="R170" s="17"/>
      <c r="S170" s="23"/>
      <c r="T170" s="35" t="str">
        <f t="shared" si="11"/>
        <v/>
      </c>
      <c r="U170" s="17"/>
      <c r="V170" s="17"/>
      <c r="W170" s="17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8" customHeight="1">
      <c r="A171" s="21"/>
      <c r="B171" s="33" t="str">
        <f t="shared" si="8"/>
        <v/>
      </c>
      <c r="C171" s="17"/>
      <c r="D171" s="17"/>
      <c r="E171" s="17"/>
      <c r="F171" s="17"/>
      <c r="G171" s="17"/>
      <c r="H171" s="17"/>
      <c r="I171" s="17"/>
      <c r="J171" s="17"/>
      <c r="K171" s="23"/>
      <c r="L171" s="23"/>
      <c r="M171" s="35" t="str">
        <f t="shared" si="9"/>
        <v/>
      </c>
      <c r="N171" s="31"/>
      <c r="O171" s="35" t="str">
        <f t="shared" si="10"/>
        <v/>
      </c>
      <c r="P171" s="21"/>
      <c r="Q171" s="17"/>
      <c r="R171" s="17"/>
      <c r="S171" s="23"/>
      <c r="T171" s="35" t="str">
        <f t="shared" si="11"/>
        <v/>
      </c>
      <c r="U171" s="17"/>
      <c r="V171" s="17"/>
      <c r="W171" s="17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8" customHeight="1">
      <c r="A172" s="21"/>
      <c r="B172" s="33" t="str">
        <f t="shared" si="8"/>
        <v/>
      </c>
      <c r="C172" s="17"/>
      <c r="D172" s="17"/>
      <c r="E172" s="17"/>
      <c r="F172" s="17"/>
      <c r="G172" s="17"/>
      <c r="H172" s="17"/>
      <c r="I172" s="17"/>
      <c r="J172" s="17"/>
      <c r="K172" s="23"/>
      <c r="L172" s="23"/>
      <c r="M172" s="35" t="str">
        <f t="shared" si="9"/>
        <v/>
      </c>
      <c r="N172" s="31"/>
      <c r="O172" s="35" t="str">
        <f t="shared" si="10"/>
        <v/>
      </c>
      <c r="P172" s="21"/>
      <c r="Q172" s="17"/>
      <c r="R172" s="17"/>
      <c r="S172" s="23"/>
      <c r="T172" s="35" t="str">
        <f t="shared" si="11"/>
        <v/>
      </c>
      <c r="U172" s="17"/>
      <c r="V172" s="17"/>
      <c r="W172" s="17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8" customHeight="1">
      <c r="A173" s="21"/>
      <c r="B173" s="33" t="str">
        <f t="shared" si="8"/>
        <v/>
      </c>
      <c r="C173" s="17"/>
      <c r="D173" s="17"/>
      <c r="E173" s="17"/>
      <c r="F173" s="17"/>
      <c r="G173" s="17"/>
      <c r="H173" s="17"/>
      <c r="I173" s="17"/>
      <c r="J173" s="17"/>
      <c r="K173" s="23"/>
      <c r="L173" s="23"/>
      <c r="M173" s="35" t="str">
        <f t="shared" si="9"/>
        <v/>
      </c>
      <c r="N173" s="31"/>
      <c r="O173" s="35" t="str">
        <f t="shared" si="10"/>
        <v/>
      </c>
      <c r="P173" s="21"/>
      <c r="Q173" s="17"/>
      <c r="R173" s="17"/>
      <c r="S173" s="23"/>
      <c r="T173" s="35" t="str">
        <f t="shared" si="11"/>
        <v/>
      </c>
      <c r="U173" s="17"/>
      <c r="V173" s="17"/>
      <c r="W173" s="17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8" customHeight="1">
      <c r="A174" s="21"/>
      <c r="B174" s="33" t="str">
        <f t="shared" si="8"/>
        <v/>
      </c>
      <c r="C174" s="17"/>
      <c r="D174" s="17"/>
      <c r="E174" s="17"/>
      <c r="F174" s="17"/>
      <c r="G174" s="17"/>
      <c r="H174" s="17"/>
      <c r="I174" s="17"/>
      <c r="J174" s="17"/>
      <c r="K174" s="23"/>
      <c r="L174" s="23"/>
      <c r="M174" s="35" t="str">
        <f t="shared" si="9"/>
        <v/>
      </c>
      <c r="N174" s="31"/>
      <c r="O174" s="35" t="str">
        <f t="shared" si="10"/>
        <v/>
      </c>
      <c r="P174" s="21"/>
      <c r="Q174" s="17"/>
      <c r="R174" s="17"/>
      <c r="S174" s="23"/>
      <c r="T174" s="35" t="str">
        <f t="shared" si="11"/>
        <v/>
      </c>
      <c r="U174" s="17"/>
      <c r="V174" s="17"/>
      <c r="W174" s="17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8" customHeight="1">
      <c r="A175" s="21"/>
      <c r="B175" s="33" t="str">
        <f t="shared" si="8"/>
        <v/>
      </c>
      <c r="C175" s="17"/>
      <c r="D175" s="17"/>
      <c r="E175" s="17"/>
      <c r="F175" s="17"/>
      <c r="G175" s="17"/>
      <c r="H175" s="17"/>
      <c r="I175" s="17"/>
      <c r="J175" s="17"/>
      <c r="K175" s="23"/>
      <c r="L175" s="23"/>
      <c r="M175" s="35" t="str">
        <f t="shared" si="9"/>
        <v/>
      </c>
      <c r="N175" s="31"/>
      <c r="O175" s="35" t="str">
        <f t="shared" si="10"/>
        <v/>
      </c>
      <c r="P175" s="21"/>
      <c r="Q175" s="17"/>
      <c r="R175" s="17"/>
      <c r="S175" s="23"/>
      <c r="T175" s="35" t="str">
        <f t="shared" si="11"/>
        <v/>
      </c>
      <c r="U175" s="17"/>
      <c r="V175" s="17"/>
      <c r="W175" s="17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8" customHeight="1">
      <c r="A176" s="21"/>
      <c r="B176" s="33" t="str">
        <f t="shared" si="8"/>
        <v/>
      </c>
      <c r="C176" s="17"/>
      <c r="D176" s="17"/>
      <c r="E176" s="17"/>
      <c r="F176" s="17"/>
      <c r="G176" s="17"/>
      <c r="H176" s="17"/>
      <c r="I176" s="17"/>
      <c r="J176" s="17"/>
      <c r="K176" s="23"/>
      <c r="L176" s="23"/>
      <c r="M176" s="35" t="str">
        <f t="shared" si="9"/>
        <v/>
      </c>
      <c r="N176" s="31"/>
      <c r="O176" s="35" t="str">
        <f t="shared" si="10"/>
        <v/>
      </c>
      <c r="P176" s="21"/>
      <c r="Q176" s="17"/>
      <c r="R176" s="17"/>
      <c r="S176" s="23"/>
      <c r="T176" s="35" t="str">
        <f t="shared" si="11"/>
        <v/>
      </c>
      <c r="U176" s="17"/>
      <c r="V176" s="17"/>
      <c r="W176" s="17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8" customHeight="1">
      <c r="A177" s="21"/>
      <c r="B177" s="33" t="str">
        <f t="shared" si="8"/>
        <v/>
      </c>
      <c r="C177" s="17"/>
      <c r="D177" s="17"/>
      <c r="E177" s="17"/>
      <c r="F177" s="17"/>
      <c r="G177" s="17"/>
      <c r="H177" s="17"/>
      <c r="I177" s="17"/>
      <c r="J177" s="17"/>
      <c r="K177" s="23"/>
      <c r="L177" s="23"/>
      <c r="M177" s="35" t="str">
        <f t="shared" si="9"/>
        <v/>
      </c>
      <c r="N177" s="31"/>
      <c r="O177" s="35" t="str">
        <f t="shared" si="10"/>
        <v/>
      </c>
      <c r="P177" s="21"/>
      <c r="Q177" s="17"/>
      <c r="R177" s="17"/>
      <c r="S177" s="23"/>
      <c r="T177" s="35" t="str">
        <f t="shared" si="11"/>
        <v/>
      </c>
      <c r="U177" s="17"/>
      <c r="V177" s="17"/>
      <c r="W177" s="17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8" customHeight="1">
      <c r="A178" s="21"/>
      <c r="B178" s="33" t="str">
        <f t="shared" si="8"/>
        <v/>
      </c>
      <c r="C178" s="17"/>
      <c r="D178" s="17"/>
      <c r="E178" s="17"/>
      <c r="F178" s="17"/>
      <c r="G178" s="17"/>
      <c r="H178" s="17"/>
      <c r="I178" s="17"/>
      <c r="J178" s="17"/>
      <c r="K178" s="23"/>
      <c r="L178" s="23"/>
      <c r="M178" s="35" t="str">
        <f t="shared" si="9"/>
        <v/>
      </c>
      <c r="N178" s="31"/>
      <c r="O178" s="35" t="str">
        <f t="shared" si="10"/>
        <v/>
      </c>
      <c r="P178" s="21"/>
      <c r="Q178" s="17"/>
      <c r="R178" s="17"/>
      <c r="S178" s="23"/>
      <c r="T178" s="35" t="str">
        <f t="shared" si="11"/>
        <v/>
      </c>
      <c r="U178" s="17"/>
      <c r="V178" s="17"/>
      <c r="W178" s="17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8" customHeight="1">
      <c r="A179" s="21"/>
      <c r="B179" s="33" t="str">
        <f t="shared" si="8"/>
        <v/>
      </c>
      <c r="C179" s="17"/>
      <c r="D179" s="17"/>
      <c r="E179" s="17"/>
      <c r="F179" s="17"/>
      <c r="G179" s="17"/>
      <c r="H179" s="17"/>
      <c r="I179" s="17"/>
      <c r="J179" s="17"/>
      <c r="K179" s="23"/>
      <c r="L179" s="23"/>
      <c r="M179" s="35" t="str">
        <f t="shared" si="9"/>
        <v/>
      </c>
      <c r="N179" s="31"/>
      <c r="O179" s="35" t="str">
        <f t="shared" si="10"/>
        <v/>
      </c>
      <c r="P179" s="21"/>
      <c r="Q179" s="17"/>
      <c r="R179" s="17"/>
      <c r="S179" s="23"/>
      <c r="T179" s="35" t="str">
        <f t="shared" si="11"/>
        <v/>
      </c>
      <c r="U179" s="17"/>
      <c r="V179" s="17"/>
      <c r="W179" s="17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8" customHeight="1">
      <c r="A180" s="21"/>
      <c r="B180" s="33" t="str">
        <f t="shared" si="8"/>
        <v/>
      </c>
      <c r="C180" s="17"/>
      <c r="D180" s="17"/>
      <c r="E180" s="17"/>
      <c r="F180" s="17"/>
      <c r="G180" s="17"/>
      <c r="H180" s="17"/>
      <c r="I180" s="17"/>
      <c r="J180" s="17"/>
      <c r="K180" s="23"/>
      <c r="L180" s="23"/>
      <c r="M180" s="35" t="str">
        <f t="shared" si="9"/>
        <v/>
      </c>
      <c r="N180" s="31"/>
      <c r="O180" s="35" t="str">
        <f t="shared" si="10"/>
        <v/>
      </c>
      <c r="P180" s="21"/>
      <c r="Q180" s="17"/>
      <c r="R180" s="17"/>
      <c r="S180" s="23"/>
      <c r="T180" s="35" t="str">
        <f t="shared" si="11"/>
        <v/>
      </c>
      <c r="U180" s="17"/>
      <c r="V180" s="17"/>
      <c r="W180" s="17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8" customHeight="1">
      <c r="A181" s="21"/>
      <c r="B181" s="33" t="str">
        <f t="shared" si="8"/>
        <v/>
      </c>
      <c r="C181" s="17"/>
      <c r="D181" s="17"/>
      <c r="E181" s="17"/>
      <c r="F181" s="17"/>
      <c r="G181" s="17"/>
      <c r="H181" s="17"/>
      <c r="I181" s="17"/>
      <c r="J181" s="17"/>
      <c r="K181" s="23"/>
      <c r="L181" s="23"/>
      <c r="M181" s="35" t="str">
        <f t="shared" si="9"/>
        <v/>
      </c>
      <c r="N181" s="31"/>
      <c r="O181" s="35" t="str">
        <f t="shared" si="10"/>
        <v/>
      </c>
      <c r="P181" s="21"/>
      <c r="Q181" s="17"/>
      <c r="R181" s="17"/>
      <c r="S181" s="23"/>
      <c r="T181" s="35" t="str">
        <f t="shared" si="11"/>
        <v/>
      </c>
      <c r="U181" s="17"/>
      <c r="V181" s="17"/>
      <c r="W181" s="17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8" customHeight="1">
      <c r="A182" s="21"/>
      <c r="B182" s="33" t="str">
        <f t="shared" si="8"/>
        <v/>
      </c>
      <c r="C182" s="17"/>
      <c r="D182" s="17"/>
      <c r="E182" s="17"/>
      <c r="F182" s="17"/>
      <c r="G182" s="17"/>
      <c r="H182" s="17"/>
      <c r="I182" s="17"/>
      <c r="J182" s="17"/>
      <c r="K182" s="23"/>
      <c r="L182" s="23"/>
      <c r="M182" s="35" t="str">
        <f t="shared" si="9"/>
        <v/>
      </c>
      <c r="N182" s="31"/>
      <c r="O182" s="35" t="str">
        <f t="shared" si="10"/>
        <v/>
      </c>
      <c r="P182" s="21"/>
      <c r="Q182" s="17"/>
      <c r="R182" s="17"/>
      <c r="S182" s="23"/>
      <c r="T182" s="35" t="str">
        <f t="shared" si="11"/>
        <v/>
      </c>
      <c r="U182" s="17"/>
      <c r="V182" s="17"/>
      <c r="W182" s="17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8" customHeight="1">
      <c r="A183" s="21"/>
      <c r="B183" s="33" t="str">
        <f t="shared" si="8"/>
        <v/>
      </c>
      <c r="C183" s="17"/>
      <c r="D183" s="17"/>
      <c r="E183" s="17"/>
      <c r="F183" s="17"/>
      <c r="G183" s="17"/>
      <c r="H183" s="17"/>
      <c r="I183" s="17"/>
      <c r="J183" s="17"/>
      <c r="K183" s="23"/>
      <c r="L183" s="23"/>
      <c r="M183" s="35" t="str">
        <f t="shared" si="9"/>
        <v/>
      </c>
      <c r="N183" s="31"/>
      <c r="O183" s="35" t="str">
        <f t="shared" si="10"/>
        <v/>
      </c>
      <c r="P183" s="21"/>
      <c r="Q183" s="17"/>
      <c r="R183" s="17"/>
      <c r="S183" s="23"/>
      <c r="T183" s="35" t="str">
        <f t="shared" si="11"/>
        <v/>
      </c>
      <c r="U183" s="17"/>
      <c r="V183" s="17"/>
      <c r="W183" s="17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8" customHeight="1">
      <c r="A184" s="21"/>
      <c r="B184" s="33" t="str">
        <f t="shared" si="8"/>
        <v/>
      </c>
      <c r="C184" s="17"/>
      <c r="D184" s="17"/>
      <c r="E184" s="17"/>
      <c r="F184" s="17"/>
      <c r="G184" s="17"/>
      <c r="H184" s="17"/>
      <c r="I184" s="17"/>
      <c r="J184" s="17"/>
      <c r="K184" s="23"/>
      <c r="L184" s="23"/>
      <c r="M184" s="35" t="str">
        <f t="shared" si="9"/>
        <v/>
      </c>
      <c r="N184" s="31"/>
      <c r="O184" s="35" t="str">
        <f t="shared" si="10"/>
        <v/>
      </c>
      <c r="P184" s="21"/>
      <c r="Q184" s="17"/>
      <c r="R184" s="17"/>
      <c r="S184" s="23"/>
      <c r="T184" s="35" t="str">
        <f t="shared" si="11"/>
        <v/>
      </c>
      <c r="U184" s="17"/>
      <c r="V184" s="17"/>
      <c r="W184" s="17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8" customHeight="1">
      <c r="A185" s="21"/>
      <c r="B185" s="33" t="str">
        <f t="shared" si="8"/>
        <v/>
      </c>
      <c r="C185" s="17"/>
      <c r="D185" s="17"/>
      <c r="E185" s="17"/>
      <c r="F185" s="17"/>
      <c r="G185" s="17"/>
      <c r="H185" s="17"/>
      <c r="I185" s="17"/>
      <c r="J185" s="17"/>
      <c r="K185" s="23"/>
      <c r="L185" s="23"/>
      <c r="M185" s="35" t="str">
        <f t="shared" si="9"/>
        <v/>
      </c>
      <c r="N185" s="31"/>
      <c r="O185" s="35" t="str">
        <f t="shared" si="10"/>
        <v/>
      </c>
      <c r="P185" s="21"/>
      <c r="Q185" s="17"/>
      <c r="R185" s="17"/>
      <c r="S185" s="23"/>
      <c r="T185" s="35" t="str">
        <f t="shared" si="11"/>
        <v/>
      </c>
      <c r="U185" s="17"/>
      <c r="V185" s="17"/>
      <c r="W185" s="17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8" customHeight="1">
      <c r="A186" s="21"/>
      <c r="B186" s="33" t="str">
        <f t="shared" si="8"/>
        <v/>
      </c>
      <c r="C186" s="17"/>
      <c r="D186" s="17"/>
      <c r="E186" s="17"/>
      <c r="F186" s="17"/>
      <c r="G186" s="17"/>
      <c r="H186" s="17"/>
      <c r="I186" s="17"/>
      <c r="J186" s="17"/>
      <c r="K186" s="23"/>
      <c r="L186" s="23"/>
      <c r="M186" s="35" t="str">
        <f t="shared" si="9"/>
        <v/>
      </c>
      <c r="N186" s="31"/>
      <c r="O186" s="35" t="str">
        <f t="shared" si="10"/>
        <v/>
      </c>
      <c r="P186" s="21"/>
      <c r="Q186" s="17"/>
      <c r="R186" s="17"/>
      <c r="S186" s="23"/>
      <c r="T186" s="35" t="str">
        <f t="shared" si="11"/>
        <v/>
      </c>
      <c r="U186" s="17"/>
      <c r="V186" s="17"/>
      <c r="W186" s="17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8" customHeight="1">
      <c r="A187" s="21"/>
      <c r="B187" s="33" t="str">
        <f t="shared" si="8"/>
        <v/>
      </c>
      <c r="C187" s="17"/>
      <c r="D187" s="17"/>
      <c r="E187" s="17"/>
      <c r="F187" s="17"/>
      <c r="G187" s="17"/>
      <c r="H187" s="17"/>
      <c r="I187" s="17"/>
      <c r="J187" s="17"/>
      <c r="K187" s="23"/>
      <c r="L187" s="23"/>
      <c r="M187" s="35" t="str">
        <f t="shared" si="9"/>
        <v/>
      </c>
      <c r="N187" s="31"/>
      <c r="O187" s="35" t="str">
        <f t="shared" si="10"/>
        <v/>
      </c>
      <c r="P187" s="21"/>
      <c r="Q187" s="17"/>
      <c r="R187" s="17"/>
      <c r="S187" s="23"/>
      <c r="T187" s="35" t="str">
        <f t="shared" si="11"/>
        <v/>
      </c>
      <c r="U187" s="17"/>
      <c r="V187" s="17"/>
      <c r="W187" s="17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8" customHeight="1">
      <c r="A188" s="21"/>
      <c r="B188" s="33" t="str">
        <f t="shared" si="8"/>
        <v/>
      </c>
      <c r="C188" s="17"/>
      <c r="D188" s="17"/>
      <c r="E188" s="17"/>
      <c r="F188" s="17"/>
      <c r="G188" s="17"/>
      <c r="H188" s="17"/>
      <c r="I188" s="17"/>
      <c r="J188" s="17"/>
      <c r="K188" s="23"/>
      <c r="L188" s="23"/>
      <c r="M188" s="35" t="str">
        <f t="shared" si="9"/>
        <v/>
      </c>
      <c r="N188" s="31"/>
      <c r="O188" s="35" t="str">
        <f t="shared" si="10"/>
        <v/>
      </c>
      <c r="P188" s="21"/>
      <c r="Q188" s="17"/>
      <c r="R188" s="17"/>
      <c r="S188" s="23"/>
      <c r="T188" s="35" t="str">
        <f t="shared" si="11"/>
        <v/>
      </c>
      <c r="U188" s="17"/>
      <c r="V188" s="17"/>
      <c r="W188" s="17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8" customHeight="1">
      <c r="A189" s="21"/>
      <c r="B189" s="33" t="str">
        <f t="shared" si="8"/>
        <v/>
      </c>
      <c r="C189" s="17"/>
      <c r="D189" s="17"/>
      <c r="E189" s="17"/>
      <c r="F189" s="17"/>
      <c r="G189" s="17"/>
      <c r="H189" s="17"/>
      <c r="I189" s="17"/>
      <c r="J189" s="17"/>
      <c r="K189" s="23"/>
      <c r="L189" s="23"/>
      <c r="M189" s="35" t="str">
        <f t="shared" si="9"/>
        <v/>
      </c>
      <c r="N189" s="31"/>
      <c r="O189" s="35" t="str">
        <f t="shared" si="10"/>
        <v/>
      </c>
      <c r="P189" s="21"/>
      <c r="Q189" s="17"/>
      <c r="R189" s="17"/>
      <c r="S189" s="23"/>
      <c r="T189" s="35" t="str">
        <f t="shared" si="11"/>
        <v/>
      </c>
      <c r="U189" s="17"/>
      <c r="V189" s="17"/>
      <c r="W189" s="17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8" customHeight="1">
      <c r="A190" s="21"/>
      <c r="B190" s="33" t="str">
        <f t="shared" si="8"/>
        <v/>
      </c>
      <c r="C190" s="17"/>
      <c r="D190" s="17"/>
      <c r="E190" s="17"/>
      <c r="F190" s="17"/>
      <c r="G190" s="17"/>
      <c r="H190" s="17"/>
      <c r="I190" s="17"/>
      <c r="J190" s="17"/>
      <c r="K190" s="23"/>
      <c r="L190" s="23"/>
      <c r="M190" s="35" t="str">
        <f t="shared" si="9"/>
        <v/>
      </c>
      <c r="N190" s="31"/>
      <c r="O190" s="35" t="str">
        <f t="shared" si="10"/>
        <v/>
      </c>
      <c r="P190" s="21"/>
      <c r="Q190" s="17"/>
      <c r="R190" s="17"/>
      <c r="S190" s="23"/>
      <c r="T190" s="35" t="str">
        <f t="shared" si="11"/>
        <v/>
      </c>
      <c r="U190" s="17"/>
      <c r="V190" s="17"/>
      <c r="W190" s="17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8" customHeight="1">
      <c r="A191" s="21"/>
      <c r="B191" s="33" t="str">
        <f t="shared" si="8"/>
        <v/>
      </c>
      <c r="C191" s="17"/>
      <c r="D191" s="17"/>
      <c r="E191" s="17"/>
      <c r="F191" s="17"/>
      <c r="G191" s="17"/>
      <c r="H191" s="17"/>
      <c r="I191" s="17"/>
      <c r="J191" s="17"/>
      <c r="K191" s="23"/>
      <c r="L191" s="23"/>
      <c r="M191" s="35" t="str">
        <f t="shared" si="9"/>
        <v/>
      </c>
      <c r="N191" s="31"/>
      <c r="O191" s="35" t="str">
        <f t="shared" si="10"/>
        <v/>
      </c>
      <c r="P191" s="21"/>
      <c r="Q191" s="17"/>
      <c r="R191" s="17"/>
      <c r="S191" s="23"/>
      <c r="T191" s="35" t="str">
        <f t="shared" si="11"/>
        <v/>
      </c>
      <c r="U191" s="17"/>
      <c r="V191" s="17"/>
      <c r="W191" s="17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8" customHeight="1">
      <c r="A192" s="21"/>
      <c r="B192" s="33" t="str">
        <f t="shared" si="8"/>
        <v/>
      </c>
      <c r="C192" s="17"/>
      <c r="D192" s="17"/>
      <c r="E192" s="17"/>
      <c r="F192" s="17"/>
      <c r="G192" s="17"/>
      <c r="H192" s="17"/>
      <c r="I192" s="17"/>
      <c r="J192" s="17"/>
      <c r="K192" s="23"/>
      <c r="L192" s="23"/>
      <c r="M192" s="35" t="str">
        <f t="shared" si="9"/>
        <v/>
      </c>
      <c r="N192" s="31"/>
      <c r="O192" s="35" t="str">
        <f t="shared" si="10"/>
        <v/>
      </c>
      <c r="P192" s="21"/>
      <c r="Q192" s="17"/>
      <c r="R192" s="17"/>
      <c r="S192" s="23"/>
      <c r="T192" s="35" t="str">
        <f t="shared" si="11"/>
        <v/>
      </c>
      <c r="U192" s="17"/>
      <c r="V192" s="17"/>
      <c r="W192" s="17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8" customHeight="1">
      <c r="A193" s="21"/>
      <c r="B193" s="33" t="str">
        <f t="shared" si="8"/>
        <v/>
      </c>
      <c r="C193" s="17"/>
      <c r="D193" s="17"/>
      <c r="E193" s="17"/>
      <c r="F193" s="17"/>
      <c r="G193" s="17"/>
      <c r="H193" s="17"/>
      <c r="I193" s="17"/>
      <c r="J193" s="17"/>
      <c r="K193" s="23"/>
      <c r="L193" s="23"/>
      <c r="M193" s="35" t="str">
        <f t="shared" si="9"/>
        <v/>
      </c>
      <c r="N193" s="31"/>
      <c r="O193" s="35" t="str">
        <f t="shared" si="10"/>
        <v/>
      </c>
      <c r="P193" s="21"/>
      <c r="Q193" s="17"/>
      <c r="R193" s="17"/>
      <c r="S193" s="23"/>
      <c r="T193" s="35" t="str">
        <f t="shared" si="11"/>
        <v/>
      </c>
      <c r="U193" s="17"/>
      <c r="V193" s="17"/>
      <c r="W193" s="17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8" customHeight="1">
      <c r="A194" s="21"/>
      <c r="B194" s="33" t="str">
        <f t="shared" si="8"/>
        <v/>
      </c>
      <c r="C194" s="17"/>
      <c r="D194" s="17"/>
      <c r="E194" s="17"/>
      <c r="F194" s="17"/>
      <c r="G194" s="17"/>
      <c r="H194" s="17"/>
      <c r="I194" s="17"/>
      <c r="J194" s="17"/>
      <c r="K194" s="23"/>
      <c r="L194" s="23"/>
      <c r="M194" s="35" t="str">
        <f t="shared" si="9"/>
        <v/>
      </c>
      <c r="N194" s="31"/>
      <c r="O194" s="35" t="str">
        <f t="shared" si="10"/>
        <v/>
      </c>
      <c r="P194" s="21"/>
      <c r="Q194" s="17"/>
      <c r="R194" s="17"/>
      <c r="S194" s="23"/>
      <c r="T194" s="35" t="str">
        <f t="shared" si="11"/>
        <v/>
      </c>
      <c r="U194" s="17"/>
      <c r="V194" s="17"/>
      <c r="W194" s="17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8" customHeight="1">
      <c r="A195" s="21"/>
      <c r="B195" s="33" t="str">
        <f t="shared" si="8"/>
        <v/>
      </c>
      <c r="C195" s="17"/>
      <c r="D195" s="17"/>
      <c r="E195" s="17"/>
      <c r="F195" s="17"/>
      <c r="G195" s="17"/>
      <c r="H195" s="17"/>
      <c r="I195" s="17"/>
      <c r="J195" s="17"/>
      <c r="K195" s="23"/>
      <c r="L195" s="23"/>
      <c r="M195" s="35" t="str">
        <f t="shared" si="9"/>
        <v/>
      </c>
      <c r="N195" s="31"/>
      <c r="O195" s="35" t="str">
        <f t="shared" si="10"/>
        <v/>
      </c>
      <c r="P195" s="21"/>
      <c r="Q195" s="17"/>
      <c r="R195" s="17"/>
      <c r="S195" s="23"/>
      <c r="T195" s="35" t="str">
        <f t="shared" si="11"/>
        <v/>
      </c>
      <c r="U195" s="17"/>
      <c r="V195" s="17"/>
      <c r="W195" s="17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8" customHeight="1">
      <c r="A196" s="21"/>
      <c r="B196" s="33" t="str">
        <f t="shared" si="8"/>
        <v/>
      </c>
      <c r="C196" s="17"/>
      <c r="D196" s="17"/>
      <c r="E196" s="17"/>
      <c r="F196" s="17"/>
      <c r="G196" s="17"/>
      <c r="H196" s="17"/>
      <c r="I196" s="17"/>
      <c r="J196" s="17"/>
      <c r="K196" s="23"/>
      <c r="L196" s="23"/>
      <c r="M196" s="35" t="str">
        <f t="shared" si="9"/>
        <v/>
      </c>
      <c r="N196" s="31"/>
      <c r="O196" s="35" t="str">
        <f t="shared" si="10"/>
        <v/>
      </c>
      <c r="P196" s="21"/>
      <c r="Q196" s="17"/>
      <c r="R196" s="17"/>
      <c r="S196" s="23"/>
      <c r="T196" s="35" t="str">
        <f t="shared" si="11"/>
        <v/>
      </c>
      <c r="U196" s="17"/>
      <c r="V196" s="17"/>
      <c r="W196" s="17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8" customHeight="1">
      <c r="A197" s="21"/>
      <c r="B197" s="33" t="str">
        <f t="shared" si="8"/>
        <v/>
      </c>
      <c r="C197" s="17"/>
      <c r="D197" s="17"/>
      <c r="E197" s="17"/>
      <c r="F197" s="17"/>
      <c r="G197" s="17"/>
      <c r="H197" s="17"/>
      <c r="I197" s="17"/>
      <c r="J197" s="17"/>
      <c r="K197" s="23"/>
      <c r="L197" s="23"/>
      <c r="M197" s="35" t="str">
        <f t="shared" si="9"/>
        <v/>
      </c>
      <c r="N197" s="31"/>
      <c r="O197" s="35" t="str">
        <f t="shared" si="10"/>
        <v/>
      </c>
      <c r="P197" s="21"/>
      <c r="Q197" s="17"/>
      <c r="R197" s="17"/>
      <c r="S197" s="23"/>
      <c r="T197" s="35" t="str">
        <f t="shared" si="11"/>
        <v/>
      </c>
      <c r="U197" s="17"/>
      <c r="V197" s="17"/>
      <c r="W197" s="17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8" customHeight="1">
      <c r="A198" s="21"/>
      <c r="B198" s="33" t="str">
        <f t="shared" si="8"/>
        <v/>
      </c>
      <c r="C198" s="17"/>
      <c r="D198" s="17"/>
      <c r="E198" s="17"/>
      <c r="F198" s="17"/>
      <c r="G198" s="17"/>
      <c r="H198" s="17"/>
      <c r="I198" s="17"/>
      <c r="J198" s="17"/>
      <c r="K198" s="23"/>
      <c r="L198" s="23"/>
      <c r="M198" s="35" t="str">
        <f t="shared" si="9"/>
        <v/>
      </c>
      <c r="N198" s="31"/>
      <c r="O198" s="35" t="str">
        <f t="shared" si="10"/>
        <v/>
      </c>
      <c r="P198" s="21"/>
      <c r="Q198" s="17"/>
      <c r="R198" s="17"/>
      <c r="S198" s="23"/>
      <c r="T198" s="35" t="str">
        <f t="shared" si="11"/>
        <v/>
      </c>
      <c r="U198" s="17"/>
      <c r="V198" s="17"/>
      <c r="W198" s="17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8" customHeight="1">
      <c r="A199" s="21"/>
      <c r="B199" s="33" t="str">
        <f t="shared" ref="B199:B262" si="12">IF(A199="","",DATE(YEAR(A199),MONTH(A199),1))</f>
        <v/>
      </c>
      <c r="C199" s="17"/>
      <c r="D199" s="17"/>
      <c r="E199" s="17"/>
      <c r="F199" s="17"/>
      <c r="G199" s="17"/>
      <c r="H199" s="17"/>
      <c r="I199" s="17"/>
      <c r="J199" s="17"/>
      <c r="K199" s="23"/>
      <c r="L199" s="23"/>
      <c r="M199" s="35" t="str">
        <f t="shared" ref="M199:M262" si="13">IF(K199="","",K199+IF(L199="",0,L199))</f>
        <v/>
      </c>
      <c r="N199" s="31"/>
      <c r="O199" s="35" t="str">
        <f t="shared" ref="O199:O262" si="14">IF(M199="","",M199-IF(N199="",0,N199))</f>
        <v/>
      </c>
      <c r="P199" s="21"/>
      <c r="Q199" s="17"/>
      <c r="R199" s="17"/>
      <c r="S199" s="23"/>
      <c r="T199" s="35" t="str">
        <f t="shared" ref="T199:T262" si="15">IF(OR(K199="",S199=""),"",K199-S199)</f>
        <v/>
      </c>
      <c r="U199" s="17"/>
      <c r="V199" s="17"/>
      <c r="W199" s="17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8" customHeight="1">
      <c r="A200" s="21"/>
      <c r="B200" s="33" t="str">
        <f t="shared" si="12"/>
        <v/>
      </c>
      <c r="C200" s="17"/>
      <c r="D200" s="17"/>
      <c r="E200" s="17"/>
      <c r="F200" s="17"/>
      <c r="G200" s="17"/>
      <c r="H200" s="17"/>
      <c r="I200" s="17"/>
      <c r="J200" s="17"/>
      <c r="K200" s="23"/>
      <c r="L200" s="23"/>
      <c r="M200" s="35" t="str">
        <f t="shared" si="13"/>
        <v/>
      </c>
      <c r="N200" s="31"/>
      <c r="O200" s="35" t="str">
        <f t="shared" si="14"/>
        <v/>
      </c>
      <c r="P200" s="21"/>
      <c r="Q200" s="17"/>
      <c r="R200" s="17"/>
      <c r="S200" s="23"/>
      <c r="T200" s="35" t="str">
        <f t="shared" si="15"/>
        <v/>
      </c>
      <c r="U200" s="17"/>
      <c r="V200" s="17"/>
      <c r="W200" s="17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8" customHeight="1">
      <c r="A201" s="21"/>
      <c r="B201" s="33" t="str">
        <f t="shared" si="12"/>
        <v/>
      </c>
      <c r="C201" s="17"/>
      <c r="D201" s="17"/>
      <c r="E201" s="17"/>
      <c r="F201" s="17"/>
      <c r="G201" s="17"/>
      <c r="H201" s="17"/>
      <c r="I201" s="17"/>
      <c r="J201" s="17"/>
      <c r="K201" s="23"/>
      <c r="L201" s="23"/>
      <c r="M201" s="35" t="str">
        <f t="shared" si="13"/>
        <v/>
      </c>
      <c r="N201" s="31"/>
      <c r="O201" s="35" t="str">
        <f t="shared" si="14"/>
        <v/>
      </c>
      <c r="P201" s="21"/>
      <c r="Q201" s="17"/>
      <c r="R201" s="17"/>
      <c r="S201" s="23"/>
      <c r="T201" s="35" t="str">
        <f t="shared" si="15"/>
        <v/>
      </c>
      <c r="U201" s="17"/>
      <c r="V201" s="17"/>
      <c r="W201" s="17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8" customHeight="1">
      <c r="A202" s="21"/>
      <c r="B202" s="33" t="str">
        <f t="shared" si="12"/>
        <v/>
      </c>
      <c r="C202" s="17"/>
      <c r="D202" s="17"/>
      <c r="E202" s="17"/>
      <c r="F202" s="17"/>
      <c r="G202" s="17"/>
      <c r="H202" s="17"/>
      <c r="I202" s="17"/>
      <c r="J202" s="17"/>
      <c r="K202" s="23"/>
      <c r="L202" s="23"/>
      <c r="M202" s="35" t="str">
        <f t="shared" si="13"/>
        <v/>
      </c>
      <c r="N202" s="31"/>
      <c r="O202" s="35" t="str">
        <f t="shared" si="14"/>
        <v/>
      </c>
      <c r="P202" s="21"/>
      <c r="Q202" s="17"/>
      <c r="R202" s="17"/>
      <c r="S202" s="23"/>
      <c r="T202" s="35" t="str">
        <f t="shared" si="15"/>
        <v/>
      </c>
      <c r="U202" s="17"/>
      <c r="V202" s="17"/>
      <c r="W202" s="17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8" customHeight="1">
      <c r="A203" s="21"/>
      <c r="B203" s="33" t="str">
        <f t="shared" si="12"/>
        <v/>
      </c>
      <c r="C203" s="17"/>
      <c r="D203" s="17"/>
      <c r="E203" s="17"/>
      <c r="F203" s="17"/>
      <c r="G203" s="17"/>
      <c r="H203" s="17"/>
      <c r="I203" s="17"/>
      <c r="J203" s="17"/>
      <c r="K203" s="23"/>
      <c r="L203" s="23"/>
      <c r="M203" s="35" t="str">
        <f t="shared" si="13"/>
        <v/>
      </c>
      <c r="N203" s="31"/>
      <c r="O203" s="35" t="str">
        <f t="shared" si="14"/>
        <v/>
      </c>
      <c r="P203" s="21"/>
      <c r="Q203" s="17"/>
      <c r="R203" s="17"/>
      <c r="S203" s="23"/>
      <c r="T203" s="35" t="str">
        <f t="shared" si="15"/>
        <v/>
      </c>
      <c r="U203" s="17"/>
      <c r="V203" s="17"/>
      <c r="W203" s="17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8" customHeight="1">
      <c r="A204" s="21"/>
      <c r="B204" s="33" t="str">
        <f t="shared" si="12"/>
        <v/>
      </c>
      <c r="C204" s="17"/>
      <c r="D204" s="17"/>
      <c r="E204" s="17"/>
      <c r="F204" s="17"/>
      <c r="G204" s="17"/>
      <c r="H204" s="17"/>
      <c r="I204" s="17"/>
      <c r="J204" s="17"/>
      <c r="K204" s="23"/>
      <c r="L204" s="23"/>
      <c r="M204" s="35" t="str">
        <f t="shared" si="13"/>
        <v/>
      </c>
      <c r="N204" s="31"/>
      <c r="O204" s="35" t="str">
        <f t="shared" si="14"/>
        <v/>
      </c>
      <c r="P204" s="21"/>
      <c r="Q204" s="17"/>
      <c r="R204" s="17"/>
      <c r="S204" s="23"/>
      <c r="T204" s="35" t="str">
        <f t="shared" si="15"/>
        <v/>
      </c>
      <c r="U204" s="17"/>
      <c r="V204" s="17"/>
      <c r="W204" s="17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8" customHeight="1">
      <c r="A205" s="21"/>
      <c r="B205" s="33" t="str">
        <f t="shared" si="12"/>
        <v/>
      </c>
      <c r="C205" s="17"/>
      <c r="D205" s="17"/>
      <c r="E205" s="17"/>
      <c r="F205" s="17"/>
      <c r="G205" s="17"/>
      <c r="H205" s="17"/>
      <c r="I205" s="17"/>
      <c r="J205" s="17"/>
      <c r="K205" s="23"/>
      <c r="L205" s="23"/>
      <c r="M205" s="35" t="str">
        <f t="shared" si="13"/>
        <v/>
      </c>
      <c r="N205" s="31"/>
      <c r="O205" s="35" t="str">
        <f t="shared" si="14"/>
        <v/>
      </c>
      <c r="P205" s="21"/>
      <c r="Q205" s="17"/>
      <c r="R205" s="17"/>
      <c r="S205" s="23"/>
      <c r="T205" s="35" t="str">
        <f t="shared" si="15"/>
        <v/>
      </c>
      <c r="U205" s="17"/>
      <c r="V205" s="17"/>
      <c r="W205" s="17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8" customHeight="1">
      <c r="A206" s="21"/>
      <c r="B206" s="33" t="str">
        <f t="shared" si="12"/>
        <v/>
      </c>
      <c r="C206" s="17"/>
      <c r="D206" s="17"/>
      <c r="E206" s="17"/>
      <c r="F206" s="17"/>
      <c r="G206" s="17"/>
      <c r="H206" s="17"/>
      <c r="I206" s="17"/>
      <c r="J206" s="17"/>
      <c r="K206" s="23"/>
      <c r="L206" s="23"/>
      <c r="M206" s="35" t="str">
        <f t="shared" si="13"/>
        <v/>
      </c>
      <c r="N206" s="31"/>
      <c r="O206" s="35" t="str">
        <f t="shared" si="14"/>
        <v/>
      </c>
      <c r="P206" s="21"/>
      <c r="Q206" s="17"/>
      <c r="R206" s="17"/>
      <c r="S206" s="23"/>
      <c r="T206" s="35" t="str">
        <f t="shared" si="15"/>
        <v/>
      </c>
      <c r="U206" s="17"/>
      <c r="V206" s="17"/>
      <c r="W206" s="17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8" customHeight="1">
      <c r="A207" s="21"/>
      <c r="B207" s="33" t="str">
        <f t="shared" si="12"/>
        <v/>
      </c>
      <c r="C207" s="17"/>
      <c r="D207" s="17"/>
      <c r="E207" s="17"/>
      <c r="F207" s="17"/>
      <c r="G207" s="17"/>
      <c r="H207" s="17"/>
      <c r="I207" s="17"/>
      <c r="J207" s="17"/>
      <c r="K207" s="23"/>
      <c r="L207" s="23"/>
      <c r="M207" s="35" t="str">
        <f t="shared" si="13"/>
        <v/>
      </c>
      <c r="N207" s="31"/>
      <c r="O207" s="35" t="str">
        <f t="shared" si="14"/>
        <v/>
      </c>
      <c r="P207" s="21"/>
      <c r="Q207" s="17"/>
      <c r="R207" s="17"/>
      <c r="S207" s="23"/>
      <c r="T207" s="35" t="str">
        <f t="shared" si="15"/>
        <v/>
      </c>
      <c r="U207" s="17"/>
      <c r="V207" s="17"/>
      <c r="W207" s="17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8" customHeight="1">
      <c r="A208" s="21"/>
      <c r="B208" s="33" t="str">
        <f t="shared" si="12"/>
        <v/>
      </c>
      <c r="C208" s="17"/>
      <c r="D208" s="17"/>
      <c r="E208" s="17"/>
      <c r="F208" s="17"/>
      <c r="G208" s="17"/>
      <c r="H208" s="17"/>
      <c r="I208" s="17"/>
      <c r="J208" s="17"/>
      <c r="K208" s="23"/>
      <c r="L208" s="23"/>
      <c r="M208" s="35" t="str">
        <f t="shared" si="13"/>
        <v/>
      </c>
      <c r="N208" s="31"/>
      <c r="O208" s="35" t="str">
        <f t="shared" si="14"/>
        <v/>
      </c>
      <c r="P208" s="21"/>
      <c r="Q208" s="17"/>
      <c r="R208" s="17"/>
      <c r="S208" s="23"/>
      <c r="T208" s="35" t="str">
        <f t="shared" si="15"/>
        <v/>
      </c>
      <c r="U208" s="17"/>
      <c r="V208" s="17"/>
      <c r="W208" s="17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8" customHeight="1">
      <c r="A209" s="21"/>
      <c r="B209" s="33" t="str">
        <f t="shared" si="12"/>
        <v/>
      </c>
      <c r="C209" s="17"/>
      <c r="D209" s="17"/>
      <c r="E209" s="17"/>
      <c r="F209" s="17"/>
      <c r="G209" s="17"/>
      <c r="H209" s="17"/>
      <c r="I209" s="17"/>
      <c r="J209" s="17"/>
      <c r="K209" s="23"/>
      <c r="L209" s="23"/>
      <c r="M209" s="35" t="str">
        <f t="shared" si="13"/>
        <v/>
      </c>
      <c r="N209" s="31"/>
      <c r="O209" s="35" t="str">
        <f t="shared" si="14"/>
        <v/>
      </c>
      <c r="P209" s="21"/>
      <c r="Q209" s="17"/>
      <c r="R209" s="17"/>
      <c r="S209" s="23"/>
      <c r="T209" s="35" t="str">
        <f t="shared" si="15"/>
        <v/>
      </c>
      <c r="U209" s="17"/>
      <c r="V209" s="17"/>
      <c r="W209" s="17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8" customHeight="1">
      <c r="A210" s="21"/>
      <c r="B210" s="33" t="str">
        <f t="shared" si="12"/>
        <v/>
      </c>
      <c r="C210" s="17"/>
      <c r="D210" s="17"/>
      <c r="E210" s="17"/>
      <c r="F210" s="17"/>
      <c r="G210" s="17"/>
      <c r="H210" s="17"/>
      <c r="I210" s="17"/>
      <c r="J210" s="17"/>
      <c r="K210" s="23"/>
      <c r="L210" s="23"/>
      <c r="M210" s="35" t="str">
        <f t="shared" si="13"/>
        <v/>
      </c>
      <c r="N210" s="31"/>
      <c r="O210" s="35" t="str">
        <f t="shared" si="14"/>
        <v/>
      </c>
      <c r="P210" s="21"/>
      <c r="Q210" s="17"/>
      <c r="R210" s="17"/>
      <c r="S210" s="23"/>
      <c r="T210" s="35" t="str">
        <f t="shared" si="15"/>
        <v/>
      </c>
      <c r="U210" s="17"/>
      <c r="V210" s="17"/>
      <c r="W210" s="17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8" customHeight="1">
      <c r="A211" s="21"/>
      <c r="B211" s="33" t="str">
        <f t="shared" si="12"/>
        <v/>
      </c>
      <c r="C211" s="17"/>
      <c r="D211" s="17"/>
      <c r="E211" s="17"/>
      <c r="F211" s="17"/>
      <c r="G211" s="17"/>
      <c r="H211" s="17"/>
      <c r="I211" s="17"/>
      <c r="J211" s="17"/>
      <c r="K211" s="23"/>
      <c r="L211" s="23"/>
      <c r="M211" s="35" t="str">
        <f t="shared" si="13"/>
        <v/>
      </c>
      <c r="N211" s="31"/>
      <c r="O211" s="35" t="str">
        <f t="shared" si="14"/>
        <v/>
      </c>
      <c r="P211" s="21"/>
      <c r="Q211" s="17"/>
      <c r="R211" s="17"/>
      <c r="S211" s="23"/>
      <c r="T211" s="35" t="str">
        <f t="shared" si="15"/>
        <v/>
      </c>
      <c r="U211" s="17"/>
      <c r="V211" s="17"/>
      <c r="W211" s="17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8" customHeight="1">
      <c r="A212" s="21"/>
      <c r="B212" s="33" t="str">
        <f t="shared" si="12"/>
        <v/>
      </c>
      <c r="C212" s="17"/>
      <c r="D212" s="17"/>
      <c r="E212" s="17"/>
      <c r="F212" s="17"/>
      <c r="G212" s="17"/>
      <c r="H212" s="17"/>
      <c r="I212" s="17"/>
      <c r="J212" s="17"/>
      <c r="K212" s="23"/>
      <c r="L212" s="23"/>
      <c r="M212" s="35" t="str">
        <f t="shared" si="13"/>
        <v/>
      </c>
      <c r="N212" s="31"/>
      <c r="O212" s="35" t="str">
        <f t="shared" si="14"/>
        <v/>
      </c>
      <c r="P212" s="21"/>
      <c r="Q212" s="17"/>
      <c r="R212" s="17"/>
      <c r="S212" s="23"/>
      <c r="T212" s="35" t="str">
        <f t="shared" si="15"/>
        <v/>
      </c>
      <c r="U212" s="17"/>
      <c r="V212" s="17"/>
      <c r="W212" s="17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8" customHeight="1">
      <c r="A213" s="21"/>
      <c r="B213" s="33" t="str">
        <f t="shared" si="12"/>
        <v/>
      </c>
      <c r="C213" s="17"/>
      <c r="D213" s="17"/>
      <c r="E213" s="17"/>
      <c r="F213" s="17"/>
      <c r="G213" s="17"/>
      <c r="H213" s="17"/>
      <c r="I213" s="17"/>
      <c r="J213" s="17"/>
      <c r="K213" s="23"/>
      <c r="L213" s="23"/>
      <c r="M213" s="35" t="str">
        <f t="shared" si="13"/>
        <v/>
      </c>
      <c r="N213" s="31"/>
      <c r="O213" s="35" t="str">
        <f t="shared" si="14"/>
        <v/>
      </c>
      <c r="P213" s="21"/>
      <c r="Q213" s="17"/>
      <c r="R213" s="17"/>
      <c r="S213" s="23"/>
      <c r="T213" s="35" t="str">
        <f t="shared" si="15"/>
        <v/>
      </c>
      <c r="U213" s="17"/>
      <c r="V213" s="17"/>
      <c r="W213" s="17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8" customHeight="1">
      <c r="A214" s="21"/>
      <c r="B214" s="33" t="str">
        <f t="shared" si="12"/>
        <v/>
      </c>
      <c r="C214" s="17"/>
      <c r="D214" s="17"/>
      <c r="E214" s="17"/>
      <c r="F214" s="17"/>
      <c r="G214" s="17"/>
      <c r="H214" s="17"/>
      <c r="I214" s="17"/>
      <c r="J214" s="17"/>
      <c r="K214" s="23"/>
      <c r="L214" s="23"/>
      <c r="M214" s="35" t="str">
        <f t="shared" si="13"/>
        <v/>
      </c>
      <c r="N214" s="31"/>
      <c r="O214" s="35" t="str">
        <f t="shared" si="14"/>
        <v/>
      </c>
      <c r="P214" s="21"/>
      <c r="Q214" s="17"/>
      <c r="R214" s="17"/>
      <c r="S214" s="23"/>
      <c r="T214" s="35" t="str">
        <f t="shared" si="15"/>
        <v/>
      </c>
      <c r="U214" s="17"/>
      <c r="V214" s="17"/>
      <c r="W214" s="17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8" customHeight="1">
      <c r="A215" s="21"/>
      <c r="B215" s="33" t="str">
        <f t="shared" si="12"/>
        <v/>
      </c>
      <c r="C215" s="17"/>
      <c r="D215" s="17"/>
      <c r="E215" s="17"/>
      <c r="F215" s="17"/>
      <c r="G215" s="17"/>
      <c r="H215" s="17"/>
      <c r="I215" s="17"/>
      <c r="J215" s="17"/>
      <c r="K215" s="23"/>
      <c r="L215" s="23"/>
      <c r="M215" s="35" t="str">
        <f t="shared" si="13"/>
        <v/>
      </c>
      <c r="N215" s="31"/>
      <c r="O215" s="35" t="str">
        <f t="shared" si="14"/>
        <v/>
      </c>
      <c r="P215" s="21"/>
      <c r="Q215" s="17"/>
      <c r="R215" s="17"/>
      <c r="S215" s="23"/>
      <c r="T215" s="35" t="str">
        <f t="shared" si="15"/>
        <v/>
      </c>
      <c r="U215" s="17"/>
      <c r="V215" s="17"/>
      <c r="W215" s="17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8" customHeight="1">
      <c r="A216" s="21"/>
      <c r="B216" s="33" t="str">
        <f t="shared" si="12"/>
        <v/>
      </c>
      <c r="C216" s="17"/>
      <c r="D216" s="17"/>
      <c r="E216" s="17"/>
      <c r="F216" s="17"/>
      <c r="G216" s="17"/>
      <c r="H216" s="17"/>
      <c r="I216" s="17"/>
      <c r="J216" s="17"/>
      <c r="K216" s="23"/>
      <c r="L216" s="23"/>
      <c r="M216" s="35" t="str">
        <f t="shared" si="13"/>
        <v/>
      </c>
      <c r="N216" s="31"/>
      <c r="O216" s="35" t="str">
        <f t="shared" si="14"/>
        <v/>
      </c>
      <c r="P216" s="21"/>
      <c r="Q216" s="17"/>
      <c r="R216" s="17"/>
      <c r="S216" s="23"/>
      <c r="T216" s="35" t="str">
        <f t="shared" si="15"/>
        <v/>
      </c>
      <c r="U216" s="17"/>
      <c r="V216" s="17"/>
      <c r="W216" s="17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8" customHeight="1">
      <c r="A217" s="21"/>
      <c r="B217" s="33" t="str">
        <f t="shared" si="12"/>
        <v/>
      </c>
      <c r="C217" s="17"/>
      <c r="D217" s="17"/>
      <c r="E217" s="17"/>
      <c r="F217" s="17"/>
      <c r="G217" s="17"/>
      <c r="H217" s="17"/>
      <c r="I217" s="17"/>
      <c r="J217" s="17"/>
      <c r="K217" s="23"/>
      <c r="L217" s="23"/>
      <c r="M217" s="35" t="str">
        <f t="shared" si="13"/>
        <v/>
      </c>
      <c r="N217" s="31"/>
      <c r="O217" s="35" t="str">
        <f t="shared" si="14"/>
        <v/>
      </c>
      <c r="P217" s="21"/>
      <c r="Q217" s="17"/>
      <c r="R217" s="17"/>
      <c r="S217" s="23"/>
      <c r="T217" s="35" t="str">
        <f t="shared" si="15"/>
        <v/>
      </c>
      <c r="U217" s="17"/>
      <c r="V217" s="17"/>
      <c r="W217" s="17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8" customHeight="1">
      <c r="A218" s="21"/>
      <c r="B218" s="33" t="str">
        <f t="shared" si="12"/>
        <v/>
      </c>
      <c r="C218" s="17"/>
      <c r="D218" s="17"/>
      <c r="E218" s="17"/>
      <c r="F218" s="17"/>
      <c r="G218" s="17"/>
      <c r="H218" s="17"/>
      <c r="I218" s="17"/>
      <c r="J218" s="17"/>
      <c r="K218" s="23"/>
      <c r="L218" s="23"/>
      <c r="M218" s="35" t="str">
        <f t="shared" si="13"/>
        <v/>
      </c>
      <c r="N218" s="31"/>
      <c r="O218" s="35" t="str">
        <f t="shared" si="14"/>
        <v/>
      </c>
      <c r="P218" s="21"/>
      <c r="Q218" s="17"/>
      <c r="R218" s="17"/>
      <c r="S218" s="23"/>
      <c r="T218" s="35" t="str">
        <f t="shared" si="15"/>
        <v/>
      </c>
      <c r="U218" s="17"/>
      <c r="V218" s="17"/>
      <c r="W218" s="17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8" customHeight="1">
      <c r="A219" s="21"/>
      <c r="B219" s="33" t="str">
        <f t="shared" si="12"/>
        <v/>
      </c>
      <c r="C219" s="17"/>
      <c r="D219" s="17"/>
      <c r="E219" s="17"/>
      <c r="F219" s="17"/>
      <c r="G219" s="17"/>
      <c r="H219" s="17"/>
      <c r="I219" s="17"/>
      <c r="J219" s="17"/>
      <c r="K219" s="23"/>
      <c r="L219" s="23"/>
      <c r="M219" s="35" t="str">
        <f t="shared" si="13"/>
        <v/>
      </c>
      <c r="N219" s="31"/>
      <c r="O219" s="35" t="str">
        <f t="shared" si="14"/>
        <v/>
      </c>
      <c r="P219" s="21"/>
      <c r="Q219" s="17"/>
      <c r="R219" s="17"/>
      <c r="S219" s="23"/>
      <c r="T219" s="35" t="str">
        <f t="shared" si="15"/>
        <v/>
      </c>
      <c r="U219" s="17"/>
      <c r="V219" s="17"/>
      <c r="W219" s="17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8" customHeight="1">
      <c r="A220" s="21"/>
      <c r="B220" s="33" t="str">
        <f t="shared" si="12"/>
        <v/>
      </c>
      <c r="C220" s="17"/>
      <c r="D220" s="17"/>
      <c r="E220" s="17"/>
      <c r="F220" s="17"/>
      <c r="G220" s="17"/>
      <c r="H220" s="17"/>
      <c r="I220" s="17"/>
      <c r="J220" s="17"/>
      <c r="K220" s="23"/>
      <c r="L220" s="23"/>
      <c r="M220" s="35" t="str">
        <f t="shared" si="13"/>
        <v/>
      </c>
      <c r="N220" s="31"/>
      <c r="O220" s="35" t="str">
        <f t="shared" si="14"/>
        <v/>
      </c>
      <c r="P220" s="21"/>
      <c r="Q220" s="17"/>
      <c r="R220" s="17"/>
      <c r="S220" s="23"/>
      <c r="T220" s="35" t="str">
        <f t="shared" si="15"/>
        <v/>
      </c>
      <c r="U220" s="17"/>
      <c r="V220" s="17"/>
      <c r="W220" s="17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8" customHeight="1">
      <c r="A221" s="21"/>
      <c r="B221" s="33" t="str">
        <f t="shared" si="12"/>
        <v/>
      </c>
      <c r="C221" s="17"/>
      <c r="D221" s="17"/>
      <c r="E221" s="17"/>
      <c r="F221" s="17"/>
      <c r="G221" s="17"/>
      <c r="H221" s="17"/>
      <c r="I221" s="17"/>
      <c r="J221" s="17"/>
      <c r="K221" s="23"/>
      <c r="L221" s="23"/>
      <c r="M221" s="35" t="str">
        <f t="shared" si="13"/>
        <v/>
      </c>
      <c r="N221" s="31"/>
      <c r="O221" s="35" t="str">
        <f t="shared" si="14"/>
        <v/>
      </c>
      <c r="P221" s="21"/>
      <c r="Q221" s="17"/>
      <c r="R221" s="17"/>
      <c r="S221" s="23"/>
      <c r="T221" s="35" t="str">
        <f t="shared" si="15"/>
        <v/>
      </c>
      <c r="U221" s="17"/>
      <c r="V221" s="17"/>
      <c r="W221" s="17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8" customHeight="1">
      <c r="A222" s="21"/>
      <c r="B222" s="33" t="str">
        <f t="shared" si="12"/>
        <v/>
      </c>
      <c r="C222" s="17"/>
      <c r="D222" s="17"/>
      <c r="E222" s="17"/>
      <c r="F222" s="17"/>
      <c r="G222" s="17"/>
      <c r="H222" s="17"/>
      <c r="I222" s="17"/>
      <c r="J222" s="17"/>
      <c r="K222" s="23"/>
      <c r="L222" s="23"/>
      <c r="M222" s="35" t="str">
        <f t="shared" si="13"/>
        <v/>
      </c>
      <c r="N222" s="31"/>
      <c r="O222" s="35" t="str">
        <f t="shared" si="14"/>
        <v/>
      </c>
      <c r="P222" s="21"/>
      <c r="Q222" s="17"/>
      <c r="R222" s="17"/>
      <c r="S222" s="23"/>
      <c r="T222" s="35" t="str">
        <f t="shared" si="15"/>
        <v/>
      </c>
      <c r="U222" s="17"/>
      <c r="V222" s="17"/>
      <c r="W222" s="17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8" customHeight="1">
      <c r="A223" s="21"/>
      <c r="B223" s="33" t="str">
        <f t="shared" si="12"/>
        <v/>
      </c>
      <c r="C223" s="17"/>
      <c r="D223" s="17"/>
      <c r="E223" s="17"/>
      <c r="F223" s="17"/>
      <c r="G223" s="17"/>
      <c r="H223" s="17"/>
      <c r="I223" s="17"/>
      <c r="J223" s="17"/>
      <c r="K223" s="23"/>
      <c r="L223" s="23"/>
      <c r="M223" s="35" t="str">
        <f t="shared" si="13"/>
        <v/>
      </c>
      <c r="N223" s="31"/>
      <c r="O223" s="35" t="str">
        <f t="shared" si="14"/>
        <v/>
      </c>
      <c r="P223" s="21"/>
      <c r="Q223" s="17"/>
      <c r="R223" s="17"/>
      <c r="S223" s="23"/>
      <c r="T223" s="35" t="str">
        <f t="shared" si="15"/>
        <v/>
      </c>
      <c r="U223" s="17"/>
      <c r="V223" s="17"/>
      <c r="W223" s="17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8" customHeight="1">
      <c r="A224" s="21"/>
      <c r="B224" s="33" t="str">
        <f t="shared" si="12"/>
        <v/>
      </c>
      <c r="C224" s="17"/>
      <c r="D224" s="17"/>
      <c r="E224" s="17"/>
      <c r="F224" s="17"/>
      <c r="G224" s="17"/>
      <c r="H224" s="17"/>
      <c r="I224" s="17"/>
      <c r="J224" s="17"/>
      <c r="K224" s="23"/>
      <c r="L224" s="23"/>
      <c r="M224" s="35" t="str">
        <f t="shared" si="13"/>
        <v/>
      </c>
      <c r="N224" s="31"/>
      <c r="O224" s="35" t="str">
        <f t="shared" si="14"/>
        <v/>
      </c>
      <c r="P224" s="21"/>
      <c r="Q224" s="17"/>
      <c r="R224" s="17"/>
      <c r="S224" s="23"/>
      <c r="T224" s="35" t="str">
        <f t="shared" si="15"/>
        <v/>
      </c>
      <c r="U224" s="17"/>
      <c r="V224" s="17"/>
      <c r="W224" s="17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8" customHeight="1">
      <c r="A225" s="21"/>
      <c r="B225" s="33" t="str">
        <f t="shared" si="12"/>
        <v/>
      </c>
      <c r="C225" s="17"/>
      <c r="D225" s="17"/>
      <c r="E225" s="17"/>
      <c r="F225" s="17"/>
      <c r="G225" s="17"/>
      <c r="H225" s="17"/>
      <c r="I225" s="17"/>
      <c r="J225" s="17"/>
      <c r="K225" s="23"/>
      <c r="L225" s="23"/>
      <c r="M225" s="35" t="str">
        <f t="shared" si="13"/>
        <v/>
      </c>
      <c r="N225" s="31"/>
      <c r="O225" s="35" t="str">
        <f t="shared" si="14"/>
        <v/>
      </c>
      <c r="P225" s="21"/>
      <c r="Q225" s="17"/>
      <c r="R225" s="17"/>
      <c r="S225" s="23"/>
      <c r="T225" s="35" t="str">
        <f t="shared" si="15"/>
        <v/>
      </c>
      <c r="U225" s="17"/>
      <c r="V225" s="17"/>
      <c r="W225" s="17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8" customHeight="1">
      <c r="A226" s="21"/>
      <c r="B226" s="33" t="str">
        <f t="shared" si="12"/>
        <v/>
      </c>
      <c r="C226" s="17"/>
      <c r="D226" s="17"/>
      <c r="E226" s="17"/>
      <c r="F226" s="17"/>
      <c r="G226" s="17"/>
      <c r="H226" s="17"/>
      <c r="I226" s="17"/>
      <c r="J226" s="17"/>
      <c r="K226" s="23"/>
      <c r="L226" s="23"/>
      <c r="M226" s="35" t="str">
        <f t="shared" si="13"/>
        <v/>
      </c>
      <c r="N226" s="31"/>
      <c r="O226" s="35" t="str">
        <f t="shared" si="14"/>
        <v/>
      </c>
      <c r="P226" s="21"/>
      <c r="Q226" s="17"/>
      <c r="R226" s="17"/>
      <c r="S226" s="23"/>
      <c r="T226" s="35" t="str">
        <f t="shared" si="15"/>
        <v/>
      </c>
      <c r="U226" s="17"/>
      <c r="V226" s="17"/>
      <c r="W226" s="17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8" customHeight="1">
      <c r="A227" s="21"/>
      <c r="B227" s="33" t="str">
        <f t="shared" si="12"/>
        <v/>
      </c>
      <c r="C227" s="17"/>
      <c r="D227" s="17"/>
      <c r="E227" s="17"/>
      <c r="F227" s="17"/>
      <c r="G227" s="17"/>
      <c r="H227" s="17"/>
      <c r="I227" s="17"/>
      <c r="J227" s="17"/>
      <c r="K227" s="23"/>
      <c r="L227" s="23"/>
      <c r="M227" s="35" t="str">
        <f t="shared" si="13"/>
        <v/>
      </c>
      <c r="N227" s="31"/>
      <c r="O227" s="35" t="str">
        <f t="shared" si="14"/>
        <v/>
      </c>
      <c r="P227" s="21"/>
      <c r="Q227" s="17"/>
      <c r="R227" s="17"/>
      <c r="S227" s="23"/>
      <c r="T227" s="35" t="str">
        <f t="shared" si="15"/>
        <v/>
      </c>
      <c r="U227" s="17"/>
      <c r="V227" s="17"/>
      <c r="W227" s="17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8" customHeight="1">
      <c r="A228" s="21"/>
      <c r="B228" s="33" t="str">
        <f t="shared" si="12"/>
        <v/>
      </c>
      <c r="C228" s="17"/>
      <c r="D228" s="17"/>
      <c r="E228" s="17"/>
      <c r="F228" s="17"/>
      <c r="G228" s="17"/>
      <c r="H228" s="17"/>
      <c r="I228" s="17"/>
      <c r="J228" s="17"/>
      <c r="K228" s="23"/>
      <c r="L228" s="23"/>
      <c r="M228" s="35" t="str">
        <f t="shared" si="13"/>
        <v/>
      </c>
      <c r="N228" s="31"/>
      <c r="O228" s="35" t="str">
        <f t="shared" si="14"/>
        <v/>
      </c>
      <c r="P228" s="21"/>
      <c r="Q228" s="17"/>
      <c r="R228" s="17"/>
      <c r="S228" s="23"/>
      <c r="T228" s="35" t="str">
        <f t="shared" si="15"/>
        <v/>
      </c>
      <c r="U228" s="17"/>
      <c r="V228" s="17"/>
      <c r="W228" s="17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8" customHeight="1">
      <c r="A229" s="21"/>
      <c r="B229" s="33" t="str">
        <f t="shared" si="12"/>
        <v/>
      </c>
      <c r="C229" s="17"/>
      <c r="D229" s="17"/>
      <c r="E229" s="17"/>
      <c r="F229" s="17"/>
      <c r="G229" s="17"/>
      <c r="H229" s="17"/>
      <c r="I229" s="17"/>
      <c r="J229" s="17"/>
      <c r="K229" s="23"/>
      <c r="L229" s="23"/>
      <c r="M229" s="35" t="str">
        <f t="shared" si="13"/>
        <v/>
      </c>
      <c r="N229" s="31"/>
      <c r="O229" s="35" t="str">
        <f t="shared" si="14"/>
        <v/>
      </c>
      <c r="P229" s="21"/>
      <c r="Q229" s="17"/>
      <c r="R229" s="17"/>
      <c r="S229" s="23"/>
      <c r="T229" s="35" t="str">
        <f t="shared" si="15"/>
        <v/>
      </c>
      <c r="U229" s="17"/>
      <c r="V229" s="17"/>
      <c r="W229" s="17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8" customHeight="1">
      <c r="A230" s="21"/>
      <c r="B230" s="33" t="str">
        <f t="shared" si="12"/>
        <v/>
      </c>
      <c r="C230" s="17"/>
      <c r="D230" s="17"/>
      <c r="E230" s="17"/>
      <c r="F230" s="17"/>
      <c r="G230" s="17"/>
      <c r="H230" s="17"/>
      <c r="I230" s="17"/>
      <c r="J230" s="17"/>
      <c r="K230" s="23"/>
      <c r="L230" s="23"/>
      <c r="M230" s="35" t="str">
        <f t="shared" si="13"/>
        <v/>
      </c>
      <c r="N230" s="31"/>
      <c r="O230" s="35" t="str">
        <f t="shared" si="14"/>
        <v/>
      </c>
      <c r="P230" s="21"/>
      <c r="Q230" s="17"/>
      <c r="R230" s="17"/>
      <c r="S230" s="23"/>
      <c r="T230" s="35" t="str">
        <f t="shared" si="15"/>
        <v/>
      </c>
      <c r="U230" s="17"/>
      <c r="V230" s="17"/>
      <c r="W230" s="17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8" customHeight="1">
      <c r="A231" s="21"/>
      <c r="B231" s="33" t="str">
        <f t="shared" si="12"/>
        <v/>
      </c>
      <c r="C231" s="17"/>
      <c r="D231" s="17"/>
      <c r="E231" s="17"/>
      <c r="F231" s="17"/>
      <c r="G231" s="17"/>
      <c r="H231" s="17"/>
      <c r="I231" s="17"/>
      <c r="J231" s="17"/>
      <c r="K231" s="23"/>
      <c r="L231" s="23"/>
      <c r="M231" s="35" t="str">
        <f t="shared" si="13"/>
        <v/>
      </c>
      <c r="N231" s="31"/>
      <c r="O231" s="35" t="str">
        <f t="shared" si="14"/>
        <v/>
      </c>
      <c r="P231" s="21"/>
      <c r="Q231" s="17"/>
      <c r="R231" s="17"/>
      <c r="S231" s="23"/>
      <c r="T231" s="35" t="str">
        <f t="shared" si="15"/>
        <v/>
      </c>
      <c r="U231" s="17"/>
      <c r="V231" s="17"/>
      <c r="W231" s="17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8" customHeight="1">
      <c r="A232" s="21"/>
      <c r="B232" s="33" t="str">
        <f t="shared" si="12"/>
        <v/>
      </c>
      <c r="C232" s="17"/>
      <c r="D232" s="17"/>
      <c r="E232" s="17"/>
      <c r="F232" s="17"/>
      <c r="G232" s="17"/>
      <c r="H232" s="17"/>
      <c r="I232" s="17"/>
      <c r="J232" s="17"/>
      <c r="K232" s="23"/>
      <c r="L232" s="23"/>
      <c r="M232" s="35" t="str">
        <f t="shared" si="13"/>
        <v/>
      </c>
      <c r="N232" s="31"/>
      <c r="O232" s="35" t="str">
        <f t="shared" si="14"/>
        <v/>
      </c>
      <c r="P232" s="21"/>
      <c r="Q232" s="17"/>
      <c r="R232" s="17"/>
      <c r="S232" s="23"/>
      <c r="T232" s="35" t="str">
        <f t="shared" si="15"/>
        <v/>
      </c>
      <c r="U232" s="17"/>
      <c r="V232" s="17"/>
      <c r="W232" s="17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8" customHeight="1">
      <c r="A233" s="21"/>
      <c r="B233" s="33" t="str">
        <f t="shared" si="12"/>
        <v/>
      </c>
      <c r="C233" s="17"/>
      <c r="D233" s="17"/>
      <c r="E233" s="17"/>
      <c r="F233" s="17"/>
      <c r="G233" s="17"/>
      <c r="H233" s="17"/>
      <c r="I233" s="17"/>
      <c r="J233" s="17"/>
      <c r="K233" s="23"/>
      <c r="L233" s="23"/>
      <c r="M233" s="35" t="str">
        <f t="shared" si="13"/>
        <v/>
      </c>
      <c r="N233" s="31"/>
      <c r="O233" s="35" t="str">
        <f t="shared" si="14"/>
        <v/>
      </c>
      <c r="P233" s="21"/>
      <c r="Q233" s="17"/>
      <c r="R233" s="17"/>
      <c r="S233" s="23"/>
      <c r="T233" s="35" t="str">
        <f t="shared" si="15"/>
        <v/>
      </c>
      <c r="U233" s="17"/>
      <c r="V233" s="17"/>
      <c r="W233" s="17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8" customHeight="1">
      <c r="A234" s="21"/>
      <c r="B234" s="33" t="str">
        <f t="shared" si="12"/>
        <v/>
      </c>
      <c r="C234" s="17"/>
      <c r="D234" s="17"/>
      <c r="E234" s="17"/>
      <c r="F234" s="17"/>
      <c r="G234" s="17"/>
      <c r="H234" s="17"/>
      <c r="I234" s="17"/>
      <c r="J234" s="17"/>
      <c r="K234" s="23"/>
      <c r="L234" s="23"/>
      <c r="M234" s="35" t="str">
        <f t="shared" si="13"/>
        <v/>
      </c>
      <c r="N234" s="31"/>
      <c r="O234" s="35" t="str">
        <f t="shared" si="14"/>
        <v/>
      </c>
      <c r="P234" s="21"/>
      <c r="Q234" s="17"/>
      <c r="R234" s="17"/>
      <c r="S234" s="23"/>
      <c r="T234" s="35" t="str">
        <f t="shared" si="15"/>
        <v/>
      </c>
      <c r="U234" s="17"/>
      <c r="V234" s="17"/>
      <c r="W234" s="17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8" customHeight="1">
      <c r="A235" s="21"/>
      <c r="B235" s="33" t="str">
        <f t="shared" si="12"/>
        <v/>
      </c>
      <c r="C235" s="17"/>
      <c r="D235" s="17"/>
      <c r="E235" s="17"/>
      <c r="F235" s="17"/>
      <c r="G235" s="17"/>
      <c r="H235" s="17"/>
      <c r="I235" s="17"/>
      <c r="J235" s="17"/>
      <c r="K235" s="23"/>
      <c r="L235" s="23"/>
      <c r="M235" s="35" t="str">
        <f t="shared" si="13"/>
        <v/>
      </c>
      <c r="N235" s="31"/>
      <c r="O235" s="35" t="str">
        <f t="shared" si="14"/>
        <v/>
      </c>
      <c r="P235" s="21"/>
      <c r="Q235" s="17"/>
      <c r="R235" s="17"/>
      <c r="S235" s="23"/>
      <c r="T235" s="35" t="str">
        <f t="shared" si="15"/>
        <v/>
      </c>
      <c r="U235" s="17"/>
      <c r="V235" s="17"/>
      <c r="W235" s="17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8" customHeight="1">
      <c r="A236" s="21"/>
      <c r="B236" s="33" t="str">
        <f t="shared" si="12"/>
        <v/>
      </c>
      <c r="C236" s="17"/>
      <c r="D236" s="17"/>
      <c r="E236" s="17"/>
      <c r="F236" s="17"/>
      <c r="G236" s="17"/>
      <c r="H236" s="17"/>
      <c r="I236" s="17"/>
      <c r="J236" s="17"/>
      <c r="K236" s="23"/>
      <c r="L236" s="23"/>
      <c r="M236" s="35" t="str">
        <f t="shared" si="13"/>
        <v/>
      </c>
      <c r="N236" s="31"/>
      <c r="O236" s="35" t="str">
        <f t="shared" si="14"/>
        <v/>
      </c>
      <c r="P236" s="21"/>
      <c r="Q236" s="17"/>
      <c r="R236" s="17"/>
      <c r="S236" s="23"/>
      <c r="T236" s="35" t="str">
        <f t="shared" si="15"/>
        <v/>
      </c>
      <c r="U236" s="17"/>
      <c r="V236" s="17"/>
      <c r="W236" s="17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8" customHeight="1">
      <c r="A237" s="21"/>
      <c r="B237" s="33" t="str">
        <f t="shared" si="12"/>
        <v/>
      </c>
      <c r="C237" s="17"/>
      <c r="D237" s="17"/>
      <c r="E237" s="17"/>
      <c r="F237" s="17"/>
      <c r="G237" s="17"/>
      <c r="H237" s="17"/>
      <c r="I237" s="17"/>
      <c r="J237" s="17"/>
      <c r="K237" s="23"/>
      <c r="L237" s="23"/>
      <c r="M237" s="35" t="str">
        <f t="shared" si="13"/>
        <v/>
      </c>
      <c r="N237" s="31"/>
      <c r="O237" s="35" t="str">
        <f t="shared" si="14"/>
        <v/>
      </c>
      <c r="P237" s="21"/>
      <c r="Q237" s="17"/>
      <c r="R237" s="17"/>
      <c r="S237" s="23"/>
      <c r="T237" s="35" t="str">
        <f t="shared" si="15"/>
        <v/>
      </c>
      <c r="U237" s="17"/>
      <c r="V237" s="17"/>
      <c r="W237" s="17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8" customHeight="1">
      <c r="A238" s="21"/>
      <c r="B238" s="33" t="str">
        <f t="shared" si="12"/>
        <v/>
      </c>
      <c r="C238" s="17"/>
      <c r="D238" s="17"/>
      <c r="E238" s="17"/>
      <c r="F238" s="17"/>
      <c r="G238" s="17"/>
      <c r="H238" s="17"/>
      <c r="I238" s="17"/>
      <c r="J238" s="17"/>
      <c r="K238" s="23"/>
      <c r="L238" s="23"/>
      <c r="M238" s="35" t="str">
        <f t="shared" si="13"/>
        <v/>
      </c>
      <c r="N238" s="31"/>
      <c r="O238" s="35" t="str">
        <f t="shared" si="14"/>
        <v/>
      </c>
      <c r="P238" s="21"/>
      <c r="Q238" s="17"/>
      <c r="R238" s="17"/>
      <c r="S238" s="23"/>
      <c r="T238" s="35" t="str">
        <f t="shared" si="15"/>
        <v/>
      </c>
      <c r="U238" s="17"/>
      <c r="V238" s="17"/>
      <c r="W238" s="17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8" customHeight="1">
      <c r="A239" s="21"/>
      <c r="B239" s="33" t="str">
        <f t="shared" si="12"/>
        <v/>
      </c>
      <c r="C239" s="17"/>
      <c r="D239" s="17"/>
      <c r="E239" s="17"/>
      <c r="F239" s="17"/>
      <c r="G239" s="17"/>
      <c r="H239" s="17"/>
      <c r="I239" s="17"/>
      <c r="J239" s="17"/>
      <c r="K239" s="23"/>
      <c r="L239" s="23"/>
      <c r="M239" s="35" t="str">
        <f t="shared" si="13"/>
        <v/>
      </c>
      <c r="N239" s="31"/>
      <c r="O239" s="35" t="str">
        <f t="shared" si="14"/>
        <v/>
      </c>
      <c r="P239" s="21"/>
      <c r="Q239" s="17"/>
      <c r="R239" s="17"/>
      <c r="S239" s="23"/>
      <c r="T239" s="35" t="str">
        <f t="shared" si="15"/>
        <v/>
      </c>
      <c r="U239" s="17"/>
      <c r="V239" s="17"/>
      <c r="W239" s="17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8" customHeight="1">
      <c r="A240" s="21"/>
      <c r="B240" s="33" t="str">
        <f t="shared" si="12"/>
        <v/>
      </c>
      <c r="C240" s="17"/>
      <c r="D240" s="17"/>
      <c r="E240" s="17"/>
      <c r="F240" s="17"/>
      <c r="G240" s="17"/>
      <c r="H240" s="17"/>
      <c r="I240" s="17"/>
      <c r="J240" s="17"/>
      <c r="K240" s="23"/>
      <c r="L240" s="23"/>
      <c r="M240" s="35" t="str">
        <f t="shared" si="13"/>
        <v/>
      </c>
      <c r="N240" s="31"/>
      <c r="O240" s="35" t="str">
        <f t="shared" si="14"/>
        <v/>
      </c>
      <c r="P240" s="21"/>
      <c r="Q240" s="17"/>
      <c r="R240" s="17"/>
      <c r="S240" s="23"/>
      <c r="T240" s="35" t="str">
        <f t="shared" si="15"/>
        <v/>
      </c>
      <c r="U240" s="17"/>
      <c r="V240" s="17"/>
      <c r="W240" s="17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8" customHeight="1">
      <c r="A241" s="21"/>
      <c r="B241" s="33" t="str">
        <f t="shared" si="12"/>
        <v/>
      </c>
      <c r="C241" s="17"/>
      <c r="D241" s="17"/>
      <c r="E241" s="17"/>
      <c r="F241" s="17"/>
      <c r="G241" s="17"/>
      <c r="H241" s="17"/>
      <c r="I241" s="17"/>
      <c r="J241" s="17"/>
      <c r="K241" s="23"/>
      <c r="L241" s="23"/>
      <c r="M241" s="35" t="str">
        <f t="shared" si="13"/>
        <v/>
      </c>
      <c r="N241" s="31"/>
      <c r="O241" s="35" t="str">
        <f t="shared" si="14"/>
        <v/>
      </c>
      <c r="P241" s="21"/>
      <c r="Q241" s="17"/>
      <c r="R241" s="17"/>
      <c r="S241" s="23"/>
      <c r="T241" s="35" t="str">
        <f t="shared" si="15"/>
        <v/>
      </c>
      <c r="U241" s="17"/>
      <c r="V241" s="17"/>
      <c r="W241" s="17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8" customHeight="1">
      <c r="A242" s="21"/>
      <c r="B242" s="33" t="str">
        <f t="shared" si="12"/>
        <v/>
      </c>
      <c r="C242" s="17"/>
      <c r="D242" s="17"/>
      <c r="E242" s="17"/>
      <c r="F242" s="17"/>
      <c r="G242" s="17"/>
      <c r="H242" s="17"/>
      <c r="I242" s="17"/>
      <c r="J242" s="17"/>
      <c r="K242" s="23"/>
      <c r="L242" s="23"/>
      <c r="M242" s="35" t="str">
        <f t="shared" si="13"/>
        <v/>
      </c>
      <c r="N242" s="31"/>
      <c r="O242" s="35" t="str">
        <f t="shared" si="14"/>
        <v/>
      </c>
      <c r="P242" s="21"/>
      <c r="Q242" s="17"/>
      <c r="R242" s="17"/>
      <c r="S242" s="23"/>
      <c r="T242" s="35" t="str">
        <f t="shared" si="15"/>
        <v/>
      </c>
      <c r="U242" s="17"/>
      <c r="V242" s="17"/>
      <c r="W242" s="17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8" customHeight="1">
      <c r="A243" s="21"/>
      <c r="B243" s="33" t="str">
        <f t="shared" si="12"/>
        <v/>
      </c>
      <c r="C243" s="17"/>
      <c r="D243" s="17"/>
      <c r="E243" s="17"/>
      <c r="F243" s="17"/>
      <c r="G243" s="17"/>
      <c r="H243" s="17"/>
      <c r="I243" s="17"/>
      <c r="J243" s="17"/>
      <c r="K243" s="23"/>
      <c r="L243" s="23"/>
      <c r="M243" s="35" t="str">
        <f t="shared" si="13"/>
        <v/>
      </c>
      <c r="N243" s="31"/>
      <c r="O243" s="35" t="str">
        <f t="shared" si="14"/>
        <v/>
      </c>
      <c r="P243" s="21"/>
      <c r="Q243" s="17"/>
      <c r="R243" s="17"/>
      <c r="S243" s="23"/>
      <c r="T243" s="35" t="str">
        <f t="shared" si="15"/>
        <v/>
      </c>
      <c r="U243" s="17"/>
      <c r="V243" s="17"/>
      <c r="W243" s="17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8" customHeight="1">
      <c r="A244" s="21"/>
      <c r="B244" s="33" t="str">
        <f t="shared" si="12"/>
        <v/>
      </c>
      <c r="C244" s="17"/>
      <c r="D244" s="17"/>
      <c r="E244" s="17"/>
      <c r="F244" s="17"/>
      <c r="G244" s="17"/>
      <c r="H244" s="17"/>
      <c r="I244" s="17"/>
      <c r="J244" s="17"/>
      <c r="K244" s="23"/>
      <c r="L244" s="23"/>
      <c r="M244" s="35" t="str">
        <f t="shared" si="13"/>
        <v/>
      </c>
      <c r="N244" s="31"/>
      <c r="O244" s="35" t="str">
        <f t="shared" si="14"/>
        <v/>
      </c>
      <c r="P244" s="21"/>
      <c r="Q244" s="17"/>
      <c r="R244" s="17"/>
      <c r="S244" s="23"/>
      <c r="T244" s="35" t="str">
        <f t="shared" si="15"/>
        <v/>
      </c>
      <c r="U244" s="17"/>
      <c r="V244" s="17"/>
      <c r="W244" s="17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8" customHeight="1">
      <c r="A245" s="21"/>
      <c r="B245" s="33" t="str">
        <f t="shared" si="12"/>
        <v/>
      </c>
      <c r="C245" s="17"/>
      <c r="D245" s="17"/>
      <c r="E245" s="17"/>
      <c r="F245" s="17"/>
      <c r="G245" s="17"/>
      <c r="H245" s="17"/>
      <c r="I245" s="17"/>
      <c r="J245" s="17"/>
      <c r="K245" s="23"/>
      <c r="L245" s="23"/>
      <c r="M245" s="35" t="str">
        <f t="shared" si="13"/>
        <v/>
      </c>
      <c r="N245" s="31"/>
      <c r="O245" s="35" t="str">
        <f t="shared" si="14"/>
        <v/>
      </c>
      <c r="P245" s="21"/>
      <c r="Q245" s="17"/>
      <c r="R245" s="17"/>
      <c r="S245" s="23"/>
      <c r="T245" s="35" t="str">
        <f t="shared" si="15"/>
        <v/>
      </c>
      <c r="U245" s="17"/>
      <c r="V245" s="17"/>
      <c r="W245" s="17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8" customHeight="1">
      <c r="A246" s="21"/>
      <c r="B246" s="33" t="str">
        <f t="shared" si="12"/>
        <v/>
      </c>
      <c r="C246" s="17"/>
      <c r="D246" s="17"/>
      <c r="E246" s="17"/>
      <c r="F246" s="17"/>
      <c r="G246" s="17"/>
      <c r="H246" s="17"/>
      <c r="I246" s="17"/>
      <c r="J246" s="17"/>
      <c r="K246" s="23"/>
      <c r="L246" s="23"/>
      <c r="M246" s="35" t="str">
        <f t="shared" si="13"/>
        <v/>
      </c>
      <c r="N246" s="31"/>
      <c r="O246" s="35" t="str">
        <f t="shared" si="14"/>
        <v/>
      </c>
      <c r="P246" s="21"/>
      <c r="Q246" s="17"/>
      <c r="R246" s="17"/>
      <c r="S246" s="23"/>
      <c r="T246" s="35" t="str">
        <f t="shared" si="15"/>
        <v/>
      </c>
      <c r="U246" s="17"/>
      <c r="V246" s="17"/>
      <c r="W246" s="17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8" customHeight="1">
      <c r="A247" s="21"/>
      <c r="B247" s="33" t="str">
        <f t="shared" si="12"/>
        <v/>
      </c>
      <c r="C247" s="17"/>
      <c r="D247" s="17"/>
      <c r="E247" s="17"/>
      <c r="F247" s="17"/>
      <c r="G247" s="17"/>
      <c r="H247" s="17"/>
      <c r="I247" s="17"/>
      <c r="J247" s="17"/>
      <c r="K247" s="23"/>
      <c r="L247" s="23"/>
      <c r="M247" s="35" t="str">
        <f t="shared" si="13"/>
        <v/>
      </c>
      <c r="N247" s="31"/>
      <c r="O247" s="35" t="str">
        <f t="shared" si="14"/>
        <v/>
      </c>
      <c r="P247" s="21"/>
      <c r="Q247" s="17"/>
      <c r="R247" s="17"/>
      <c r="S247" s="23"/>
      <c r="T247" s="35" t="str">
        <f t="shared" si="15"/>
        <v/>
      </c>
      <c r="U247" s="17"/>
      <c r="V247" s="17"/>
      <c r="W247" s="17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8" customHeight="1">
      <c r="A248" s="21"/>
      <c r="B248" s="33" t="str">
        <f t="shared" si="12"/>
        <v/>
      </c>
      <c r="C248" s="17"/>
      <c r="D248" s="17"/>
      <c r="E248" s="17"/>
      <c r="F248" s="17"/>
      <c r="G248" s="17"/>
      <c r="H248" s="17"/>
      <c r="I248" s="17"/>
      <c r="J248" s="17"/>
      <c r="K248" s="23"/>
      <c r="L248" s="23"/>
      <c r="M248" s="35" t="str">
        <f t="shared" si="13"/>
        <v/>
      </c>
      <c r="N248" s="31"/>
      <c r="O248" s="35" t="str">
        <f t="shared" si="14"/>
        <v/>
      </c>
      <c r="P248" s="21"/>
      <c r="Q248" s="17"/>
      <c r="R248" s="17"/>
      <c r="S248" s="23"/>
      <c r="T248" s="35" t="str">
        <f t="shared" si="15"/>
        <v/>
      </c>
      <c r="U248" s="17"/>
      <c r="V248" s="17"/>
      <c r="W248" s="17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8" customHeight="1">
      <c r="A249" s="21"/>
      <c r="B249" s="33" t="str">
        <f t="shared" si="12"/>
        <v/>
      </c>
      <c r="C249" s="17"/>
      <c r="D249" s="17"/>
      <c r="E249" s="17"/>
      <c r="F249" s="17"/>
      <c r="G249" s="17"/>
      <c r="H249" s="17"/>
      <c r="I249" s="17"/>
      <c r="J249" s="17"/>
      <c r="K249" s="23"/>
      <c r="L249" s="23"/>
      <c r="M249" s="35" t="str">
        <f t="shared" si="13"/>
        <v/>
      </c>
      <c r="N249" s="31"/>
      <c r="O249" s="35" t="str">
        <f t="shared" si="14"/>
        <v/>
      </c>
      <c r="P249" s="21"/>
      <c r="Q249" s="17"/>
      <c r="R249" s="17"/>
      <c r="S249" s="23"/>
      <c r="T249" s="35" t="str">
        <f t="shared" si="15"/>
        <v/>
      </c>
      <c r="U249" s="17"/>
      <c r="V249" s="17"/>
      <c r="W249" s="17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8" customHeight="1">
      <c r="A250" s="21"/>
      <c r="B250" s="33" t="str">
        <f t="shared" si="12"/>
        <v/>
      </c>
      <c r="C250" s="17"/>
      <c r="D250" s="17"/>
      <c r="E250" s="17"/>
      <c r="F250" s="17"/>
      <c r="G250" s="17"/>
      <c r="H250" s="17"/>
      <c r="I250" s="17"/>
      <c r="J250" s="17"/>
      <c r="K250" s="23"/>
      <c r="L250" s="23"/>
      <c r="M250" s="35" t="str">
        <f t="shared" si="13"/>
        <v/>
      </c>
      <c r="N250" s="31"/>
      <c r="O250" s="35" t="str">
        <f t="shared" si="14"/>
        <v/>
      </c>
      <c r="P250" s="21"/>
      <c r="Q250" s="17"/>
      <c r="R250" s="17"/>
      <c r="S250" s="23"/>
      <c r="T250" s="35" t="str">
        <f t="shared" si="15"/>
        <v/>
      </c>
      <c r="U250" s="17"/>
      <c r="V250" s="17"/>
      <c r="W250" s="17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8" customHeight="1">
      <c r="A251" s="21"/>
      <c r="B251" s="33" t="str">
        <f t="shared" si="12"/>
        <v/>
      </c>
      <c r="C251" s="17"/>
      <c r="D251" s="17"/>
      <c r="E251" s="17"/>
      <c r="F251" s="17"/>
      <c r="G251" s="17"/>
      <c r="H251" s="17"/>
      <c r="I251" s="17"/>
      <c r="J251" s="17"/>
      <c r="K251" s="23"/>
      <c r="L251" s="23"/>
      <c r="M251" s="35" t="str">
        <f t="shared" si="13"/>
        <v/>
      </c>
      <c r="N251" s="31"/>
      <c r="O251" s="35" t="str">
        <f t="shared" si="14"/>
        <v/>
      </c>
      <c r="P251" s="21"/>
      <c r="Q251" s="17"/>
      <c r="R251" s="17"/>
      <c r="S251" s="23"/>
      <c r="T251" s="35" t="str">
        <f t="shared" si="15"/>
        <v/>
      </c>
      <c r="U251" s="17"/>
      <c r="V251" s="17"/>
      <c r="W251" s="17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8" customHeight="1">
      <c r="A252" s="21"/>
      <c r="B252" s="33" t="str">
        <f t="shared" si="12"/>
        <v/>
      </c>
      <c r="C252" s="17"/>
      <c r="D252" s="17"/>
      <c r="E252" s="17"/>
      <c r="F252" s="17"/>
      <c r="G252" s="17"/>
      <c r="H252" s="17"/>
      <c r="I252" s="17"/>
      <c r="J252" s="17"/>
      <c r="K252" s="23"/>
      <c r="L252" s="23"/>
      <c r="M252" s="35" t="str">
        <f t="shared" si="13"/>
        <v/>
      </c>
      <c r="N252" s="31"/>
      <c r="O252" s="35" t="str">
        <f t="shared" si="14"/>
        <v/>
      </c>
      <c r="P252" s="21"/>
      <c r="Q252" s="17"/>
      <c r="R252" s="17"/>
      <c r="S252" s="23"/>
      <c r="T252" s="35" t="str">
        <f t="shared" si="15"/>
        <v/>
      </c>
      <c r="U252" s="17"/>
      <c r="V252" s="17"/>
      <c r="W252" s="17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8" customHeight="1">
      <c r="A253" s="21"/>
      <c r="B253" s="33" t="str">
        <f t="shared" si="12"/>
        <v/>
      </c>
      <c r="C253" s="17"/>
      <c r="D253" s="17"/>
      <c r="E253" s="17"/>
      <c r="F253" s="17"/>
      <c r="G253" s="17"/>
      <c r="H253" s="17"/>
      <c r="I253" s="17"/>
      <c r="J253" s="17"/>
      <c r="K253" s="23"/>
      <c r="L253" s="23"/>
      <c r="M253" s="35" t="str">
        <f t="shared" si="13"/>
        <v/>
      </c>
      <c r="N253" s="31"/>
      <c r="O253" s="35" t="str">
        <f t="shared" si="14"/>
        <v/>
      </c>
      <c r="P253" s="21"/>
      <c r="Q253" s="17"/>
      <c r="R253" s="17"/>
      <c r="S253" s="23"/>
      <c r="T253" s="35" t="str">
        <f t="shared" si="15"/>
        <v/>
      </c>
      <c r="U253" s="17"/>
      <c r="V253" s="17"/>
      <c r="W253" s="17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8" customHeight="1">
      <c r="A254" s="21"/>
      <c r="B254" s="33" t="str">
        <f t="shared" si="12"/>
        <v/>
      </c>
      <c r="C254" s="17"/>
      <c r="D254" s="17"/>
      <c r="E254" s="17"/>
      <c r="F254" s="17"/>
      <c r="G254" s="17"/>
      <c r="H254" s="17"/>
      <c r="I254" s="17"/>
      <c r="J254" s="17"/>
      <c r="K254" s="23"/>
      <c r="L254" s="23"/>
      <c r="M254" s="35" t="str">
        <f t="shared" si="13"/>
        <v/>
      </c>
      <c r="N254" s="31"/>
      <c r="O254" s="35" t="str">
        <f t="shared" si="14"/>
        <v/>
      </c>
      <c r="P254" s="21"/>
      <c r="Q254" s="17"/>
      <c r="R254" s="17"/>
      <c r="S254" s="23"/>
      <c r="T254" s="35" t="str">
        <f t="shared" si="15"/>
        <v/>
      </c>
      <c r="U254" s="17"/>
      <c r="V254" s="17"/>
      <c r="W254" s="17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8" customHeight="1">
      <c r="A255" s="21"/>
      <c r="B255" s="33" t="str">
        <f t="shared" si="12"/>
        <v/>
      </c>
      <c r="C255" s="17"/>
      <c r="D255" s="17"/>
      <c r="E255" s="17"/>
      <c r="F255" s="17"/>
      <c r="G255" s="17"/>
      <c r="H255" s="17"/>
      <c r="I255" s="17"/>
      <c r="J255" s="17"/>
      <c r="K255" s="23"/>
      <c r="L255" s="23"/>
      <c r="M255" s="35" t="str">
        <f t="shared" si="13"/>
        <v/>
      </c>
      <c r="N255" s="31"/>
      <c r="O255" s="35" t="str">
        <f t="shared" si="14"/>
        <v/>
      </c>
      <c r="P255" s="21"/>
      <c r="Q255" s="17"/>
      <c r="R255" s="17"/>
      <c r="S255" s="23"/>
      <c r="T255" s="35" t="str">
        <f t="shared" si="15"/>
        <v/>
      </c>
      <c r="U255" s="17"/>
      <c r="V255" s="17"/>
      <c r="W255" s="17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8" customHeight="1">
      <c r="A256" s="21"/>
      <c r="B256" s="33" t="str">
        <f t="shared" si="12"/>
        <v/>
      </c>
      <c r="C256" s="17"/>
      <c r="D256" s="17"/>
      <c r="E256" s="17"/>
      <c r="F256" s="17"/>
      <c r="G256" s="17"/>
      <c r="H256" s="17"/>
      <c r="I256" s="17"/>
      <c r="J256" s="17"/>
      <c r="K256" s="23"/>
      <c r="L256" s="23"/>
      <c r="M256" s="35" t="str">
        <f t="shared" si="13"/>
        <v/>
      </c>
      <c r="N256" s="31"/>
      <c r="O256" s="35" t="str">
        <f t="shared" si="14"/>
        <v/>
      </c>
      <c r="P256" s="21"/>
      <c r="Q256" s="17"/>
      <c r="R256" s="17"/>
      <c r="S256" s="23"/>
      <c r="T256" s="35" t="str">
        <f t="shared" si="15"/>
        <v/>
      </c>
      <c r="U256" s="17"/>
      <c r="V256" s="17"/>
      <c r="W256" s="17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8" customHeight="1">
      <c r="A257" s="21"/>
      <c r="B257" s="33" t="str">
        <f t="shared" si="12"/>
        <v/>
      </c>
      <c r="C257" s="17"/>
      <c r="D257" s="17"/>
      <c r="E257" s="17"/>
      <c r="F257" s="17"/>
      <c r="G257" s="17"/>
      <c r="H257" s="17"/>
      <c r="I257" s="17"/>
      <c r="J257" s="17"/>
      <c r="K257" s="23"/>
      <c r="L257" s="23"/>
      <c r="M257" s="35" t="str">
        <f t="shared" si="13"/>
        <v/>
      </c>
      <c r="N257" s="31"/>
      <c r="O257" s="35" t="str">
        <f t="shared" si="14"/>
        <v/>
      </c>
      <c r="P257" s="21"/>
      <c r="Q257" s="17"/>
      <c r="R257" s="17"/>
      <c r="S257" s="23"/>
      <c r="T257" s="35" t="str">
        <f t="shared" si="15"/>
        <v/>
      </c>
      <c r="U257" s="17"/>
      <c r="V257" s="17"/>
      <c r="W257" s="17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8" customHeight="1">
      <c r="A258" s="21"/>
      <c r="B258" s="33" t="str">
        <f t="shared" si="12"/>
        <v/>
      </c>
      <c r="C258" s="17"/>
      <c r="D258" s="17"/>
      <c r="E258" s="17"/>
      <c r="F258" s="17"/>
      <c r="G258" s="17"/>
      <c r="H258" s="17"/>
      <c r="I258" s="17"/>
      <c r="J258" s="17"/>
      <c r="K258" s="23"/>
      <c r="L258" s="23"/>
      <c r="M258" s="35" t="str">
        <f t="shared" si="13"/>
        <v/>
      </c>
      <c r="N258" s="31"/>
      <c r="O258" s="35" t="str">
        <f t="shared" si="14"/>
        <v/>
      </c>
      <c r="P258" s="21"/>
      <c r="Q258" s="17"/>
      <c r="R258" s="17"/>
      <c r="S258" s="23"/>
      <c r="T258" s="35" t="str">
        <f t="shared" si="15"/>
        <v/>
      </c>
      <c r="U258" s="17"/>
      <c r="V258" s="17"/>
      <c r="W258" s="17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8" customHeight="1">
      <c r="A259" s="21"/>
      <c r="B259" s="33" t="str">
        <f t="shared" si="12"/>
        <v/>
      </c>
      <c r="C259" s="17"/>
      <c r="D259" s="17"/>
      <c r="E259" s="17"/>
      <c r="F259" s="17"/>
      <c r="G259" s="17"/>
      <c r="H259" s="17"/>
      <c r="I259" s="17"/>
      <c r="J259" s="17"/>
      <c r="K259" s="23"/>
      <c r="L259" s="23"/>
      <c r="M259" s="35" t="str">
        <f t="shared" si="13"/>
        <v/>
      </c>
      <c r="N259" s="31"/>
      <c r="O259" s="35" t="str">
        <f t="shared" si="14"/>
        <v/>
      </c>
      <c r="P259" s="21"/>
      <c r="Q259" s="17"/>
      <c r="R259" s="17"/>
      <c r="S259" s="23"/>
      <c r="T259" s="35" t="str">
        <f t="shared" si="15"/>
        <v/>
      </c>
      <c r="U259" s="17"/>
      <c r="V259" s="17"/>
      <c r="W259" s="17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8" customHeight="1">
      <c r="A260" s="21"/>
      <c r="B260" s="33" t="str">
        <f t="shared" si="12"/>
        <v/>
      </c>
      <c r="C260" s="17"/>
      <c r="D260" s="17"/>
      <c r="E260" s="17"/>
      <c r="F260" s="17"/>
      <c r="G260" s="17"/>
      <c r="H260" s="17"/>
      <c r="I260" s="17"/>
      <c r="J260" s="17"/>
      <c r="K260" s="23"/>
      <c r="L260" s="23"/>
      <c r="M260" s="35" t="str">
        <f t="shared" si="13"/>
        <v/>
      </c>
      <c r="N260" s="31"/>
      <c r="O260" s="35" t="str">
        <f t="shared" si="14"/>
        <v/>
      </c>
      <c r="P260" s="21"/>
      <c r="Q260" s="17"/>
      <c r="R260" s="17"/>
      <c r="S260" s="23"/>
      <c r="T260" s="35" t="str">
        <f t="shared" si="15"/>
        <v/>
      </c>
      <c r="U260" s="17"/>
      <c r="V260" s="17"/>
      <c r="W260" s="17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8" customHeight="1">
      <c r="A261" s="21"/>
      <c r="B261" s="33" t="str">
        <f t="shared" si="12"/>
        <v/>
      </c>
      <c r="C261" s="17"/>
      <c r="D261" s="17"/>
      <c r="E261" s="17"/>
      <c r="F261" s="17"/>
      <c r="G261" s="17"/>
      <c r="H261" s="17"/>
      <c r="I261" s="17"/>
      <c r="J261" s="17"/>
      <c r="K261" s="23"/>
      <c r="L261" s="23"/>
      <c r="M261" s="35" t="str">
        <f t="shared" si="13"/>
        <v/>
      </c>
      <c r="N261" s="31"/>
      <c r="O261" s="35" t="str">
        <f t="shared" si="14"/>
        <v/>
      </c>
      <c r="P261" s="21"/>
      <c r="Q261" s="17"/>
      <c r="R261" s="17"/>
      <c r="S261" s="23"/>
      <c r="T261" s="35" t="str">
        <f t="shared" si="15"/>
        <v/>
      </c>
      <c r="U261" s="17"/>
      <c r="V261" s="17"/>
      <c r="W261" s="17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8" customHeight="1">
      <c r="A262" s="21"/>
      <c r="B262" s="33" t="str">
        <f t="shared" si="12"/>
        <v/>
      </c>
      <c r="C262" s="17"/>
      <c r="D262" s="17"/>
      <c r="E262" s="17"/>
      <c r="F262" s="17"/>
      <c r="G262" s="17"/>
      <c r="H262" s="17"/>
      <c r="I262" s="17"/>
      <c r="J262" s="17"/>
      <c r="K262" s="23"/>
      <c r="L262" s="23"/>
      <c r="M262" s="35" t="str">
        <f t="shared" si="13"/>
        <v/>
      </c>
      <c r="N262" s="31"/>
      <c r="O262" s="35" t="str">
        <f t="shared" si="14"/>
        <v/>
      </c>
      <c r="P262" s="21"/>
      <c r="Q262" s="17"/>
      <c r="R262" s="17"/>
      <c r="S262" s="23"/>
      <c r="T262" s="35" t="str">
        <f t="shared" si="15"/>
        <v/>
      </c>
      <c r="U262" s="17"/>
      <c r="V262" s="17"/>
      <c r="W262" s="17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8" customHeight="1">
      <c r="A263" s="21"/>
      <c r="B263" s="33" t="str">
        <f t="shared" ref="B263:B306" si="16">IF(A263="","",DATE(YEAR(A263),MONTH(A263),1))</f>
        <v/>
      </c>
      <c r="C263" s="17"/>
      <c r="D263" s="17"/>
      <c r="E263" s="17"/>
      <c r="F263" s="17"/>
      <c r="G263" s="17"/>
      <c r="H263" s="17"/>
      <c r="I263" s="17"/>
      <c r="J263" s="17"/>
      <c r="K263" s="23"/>
      <c r="L263" s="23"/>
      <c r="M263" s="35" t="str">
        <f t="shared" ref="M263:M306" si="17">IF(K263="","",K263+IF(L263="",0,L263))</f>
        <v/>
      </c>
      <c r="N263" s="31"/>
      <c r="O263" s="35" t="str">
        <f t="shared" ref="O263:O306" si="18">IF(M263="","",M263-IF(N263="",0,N263))</f>
        <v/>
      </c>
      <c r="P263" s="21"/>
      <c r="Q263" s="17"/>
      <c r="R263" s="17"/>
      <c r="S263" s="23"/>
      <c r="T263" s="35" t="str">
        <f t="shared" ref="T263:T306" si="19">IF(OR(K263="",S263=""),"",K263-S263)</f>
        <v/>
      </c>
      <c r="U263" s="17"/>
      <c r="V263" s="17"/>
      <c r="W263" s="17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8" customHeight="1">
      <c r="A264" s="21"/>
      <c r="B264" s="33" t="str">
        <f t="shared" si="16"/>
        <v/>
      </c>
      <c r="C264" s="17"/>
      <c r="D264" s="17"/>
      <c r="E264" s="17"/>
      <c r="F264" s="17"/>
      <c r="G264" s="17"/>
      <c r="H264" s="17"/>
      <c r="I264" s="17"/>
      <c r="J264" s="17"/>
      <c r="K264" s="23"/>
      <c r="L264" s="23"/>
      <c r="M264" s="35" t="str">
        <f t="shared" si="17"/>
        <v/>
      </c>
      <c r="N264" s="31"/>
      <c r="O264" s="35" t="str">
        <f t="shared" si="18"/>
        <v/>
      </c>
      <c r="P264" s="21"/>
      <c r="Q264" s="17"/>
      <c r="R264" s="17"/>
      <c r="S264" s="23"/>
      <c r="T264" s="35" t="str">
        <f t="shared" si="19"/>
        <v/>
      </c>
      <c r="U264" s="17"/>
      <c r="V264" s="17"/>
      <c r="W264" s="17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8" customHeight="1">
      <c r="A265" s="21"/>
      <c r="B265" s="33" t="str">
        <f t="shared" si="16"/>
        <v/>
      </c>
      <c r="C265" s="17"/>
      <c r="D265" s="17"/>
      <c r="E265" s="17"/>
      <c r="F265" s="17"/>
      <c r="G265" s="17"/>
      <c r="H265" s="17"/>
      <c r="I265" s="17"/>
      <c r="J265" s="17"/>
      <c r="K265" s="23"/>
      <c r="L265" s="23"/>
      <c r="M265" s="35" t="str">
        <f t="shared" si="17"/>
        <v/>
      </c>
      <c r="N265" s="31"/>
      <c r="O265" s="35" t="str">
        <f t="shared" si="18"/>
        <v/>
      </c>
      <c r="P265" s="21"/>
      <c r="Q265" s="17"/>
      <c r="R265" s="17"/>
      <c r="S265" s="23"/>
      <c r="T265" s="35" t="str">
        <f t="shared" si="19"/>
        <v/>
      </c>
      <c r="U265" s="17"/>
      <c r="V265" s="17"/>
      <c r="W265" s="17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8" customHeight="1">
      <c r="A266" s="21"/>
      <c r="B266" s="33" t="str">
        <f t="shared" si="16"/>
        <v/>
      </c>
      <c r="C266" s="17"/>
      <c r="D266" s="17"/>
      <c r="E266" s="17"/>
      <c r="F266" s="17"/>
      <c r="G266" s="17"/>
      <c r="H266" s="17"/>
      <c r="I266" s="17"/>
      <c r="J266" s="17"/>
      <c r="K266" s="23"/>
      <c r="L266" s="23"/>
      <c r="M266" s="35" t="str">
        <f t="shared" si="17"/>
        <v/>
      </c>
      <c r="N266" s="31"/>
      <c r="O266" s="35" t="str">
        <f t="shared" si="18"/>
        <v/>
      </c>
      <c r="P266" s="21"/>
      <c r="Q266" s="17"/>
      <c r="R266" s="17"/>
      <c r="S266" s="23"/>
      <c r="T266" s="35" t="str">
        <f t="shared" si="19"/>
        <v/>
      </c>
      <c r="U266" s="17"/>
      <c r="V266" s="17"/>
      <c r="W266" s="17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8" customHeight="1">
      <c r="A267" s="21"/>
      <c r="B267" s="33" t="str">
        <f t="shared" si="16"/>
        <v/>
      </c>
      <c r="C267" s="17"/>
      <c r="D267" s="17"/>
      <c r="E267" s="17"/>
      <c r="F267" s="17"/>
      <c r="G267" s="17"/>
      <c r="H267" s="17"/>
      <c r="I267" s="17"/>
      <c r="J267" s="17"/>
      <c r="K267" s="23"/>
      <c r="L267" s="23"/>
      <c r="M267" s="35" t="str">
        <f t="shared" si="17"/>
        <v/>
      </c>
      <c r="N267" s="31"/>
      <c r="O267" s="35" t="str">
        <f t="shared" si="18"/>
        <v/>
      </c>
      <c r="P267" s="21"/>
      <c r="Q267" s="17"/>
      <c r="R267" s="17"/>
      <c r="S267" s="23"/>
      <c r="T267" s="35" t="str">
        <f t="shared" si="19"/>
        <v/>
      </c>
      <c r="U267" s="17"/>
      <c r="V267" s="17"/>
      <c r="W267" s="17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8" customHeight="1">
      <c r="A268" s="21"/>
      <c r="B268" s="33" t="str">
        <f t="shared" si="16"/>
        <v/>
      </c>
      <c r="C268" s="17"/>
      <c r="D268" s="17"/>
      <c r="E268" s="17"/>
      <c r="F268" s="17"/>
      <c r="G268" s="17"/>
      <c r="H268" s="17"/>
      <c r="I268" s="17"/>
      <c r="J268" s="17"/>
      <c r="K268" s="23"/>
      <c r="L268" s="23"/>
      <c r="M268" s="35" t="str">
        <f t="shared" si="17"/>
        <v/>
      </c>
      <c r="N268" s="31"/>
      <c r="O268" s="35" t="str">
        <f t="shared" si="18"/>
        <v/>
      </c>
      <c r="P268" s="21"/>
      <c r="Q268" s="17"/>
      <c r="R268" s="17"/>
      <c r="S268" s="23"/>
      <c r="T268" s="35" t="str">
        <f t="shared" si="19"/>
        <v/>
      </c>
      <c r="U268" s="17"/>
      <c r="V268" s="17"/>
      <c r="W268" s="17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8" customHeight="1">
      <c r="A269" s="21"/>
      <c r="B269" s="33" t="str">
        <f t="shared" si="16"/>
        <v/>
      </c>
      <c r="C269" s="17"/>
      <c r="D269" s="17"/>
      <c r="E269" s="17"/>
      <c r="F269" s="17"/>
      <c r="G269" s="17"/>
      <c r="H269" s="17"/>
      <c r="I269" s="17"/>
      <c r="J269" s="17"/>
      <c r="K269" s="23"/>
      <c r="L269" s="23"/>
      <c r="M269" s="35" t="str">
        <f t="shared" si="17"/>
        <v/>
      </c>
      <c r="N269" s="31"/>
      <c r="O269" s="35" t="str">
        <f t="shared" si="18"/>
        <v/>
      </c>
      <c r="P269" s="21"/>
      <c r="Q269" s="17"/>
      <c r="R269" s="17"/>
      <c r="S269" s="23"/>
      <c r="T269" s="35" t="str">
        <f t="shared" si="19"/>
        <v/>
      </c>
      <c r="U269" s="17"/>
      <c r="V269" s="17"/>
      <c r="W269" s="17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8" customHeight="1">
      <c r="A270" s="21"/>
      <c r="B270" s="33" t="str">
        <f t="shared" si="16"/>
        <v/>
      </c>
      <c r="C270" s="17"/>
      <c r="D270" s="17"/>
      <c r="E270" s="17"/>
      <c r="F270" s="17"/>
      <c r="G270" s="17"/>
      <c r="H270" s="17"/>
      <c r="I270" s="17"/>
      <c r="J270" s="17"/>
      <c r="K270" s="23"/>
      <c r="L270" s="23"/>
      <c r="M270" s="35" t="str">
        <f t="shared" si="17"/>
        <v/>
      </c>
      <c r="N270" s="31"/>
      <c r="O270" s="35" t="str">
        <f t="shared" si="18"/>
        <v/>
      </c>
      <c r="P270" s="21"/>
      <c r="Q270" s="17"/>
      <c r="R270" s="17"/>
      <c r="S270" s="23"/>
      <c r="T270" s="35" t="str">
        <f t="shared" si="19"/>
        <v/>
      </c>
      <c r="U270" s="17"/>
      <c r="V270" s="17"/>
      <c r="W270" s="17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8" customHeight="1">
      <c r="A271" s="21"/>
      <c r="B271" s="33" t="str">
        <f t="shared" si="16"/>
        <v/>
      </c>
      <c r="C271" s="17"/>
      <c r="D271" s="17"/>
      <c r="E271" s="17"/>
      <c r="F271" s="17"/>
      <c r="G271" s="17"/>
      <c r="H271" s="17"/>
      <c r="I271" s="17"/>
      <c r="J271" s="17"/>
      <c r="K271" s="23"/>
      <c r="L271" s="23"/>
      <c r="M271" s="35" t="str">
        <f t="shared" si="17"/>
        <v/>
      </c>
      <c r="N271" s="31"/>
      <c r="O271" s="35" t="str">
        <f t="shared" si="18"/>
        <v/>
      </c>
      <c r="P271" s="21"/>
      <c r="Q271" s="17"/>
      <c r="R271" s="17"/>
      <c r="S271" s="23"/>
      <c r="T271" s="35" t="str">
        <f t="shared" si="19"/>
        <v/>
      </c>
      <c r="U271" s="17"/>
      <c r="V271" s="17"/>
      <c r="W271" s="17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8" customHeight="1">
      <c r="A272" s="21"/>
      <c r="B272" s="33" t="str">
        <f t="shared" si="16"/>
        <v/>
      </c>
      <c r="C272" s="17"/>
      <c r="D272" s="17"/>
      <c r="E272" s="17"/>
      <c r="F272" s="17"/>
      <c r="G272" s="17"/>
      <c r="H272" s="17"/>
      <c r="I272" s="17"/>
      <c r="J272" s="17"/>
      <c r="K272" s="23"/>
      <c r="L272" s="23"/>
      <c r="M272" s="35" t="str">
        <f t="shared" si="17"/>
        <v/>
      </c>
      <c r="N272" s="31"/>
      <c r="O272" s="35" t="str">
        <f t="shared" si="18"/>
        <v/>
      </c>
      <c r="P272" s="21"/>
      <c r="Q272" s="17"/>
      <c r="R272" s="17"/>
      <c r="S272" s="23"/>
      <c r="T272" s="35" t="str">
        <f t="shared" si="19"/>
        <v/>
      </c>
      <c r="U272" s="17"/>
      <c r="V272" s="17"/>
      <c r="W272" s="17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8" customHeight="1">
      <c r="A273" s="21"/>
      <c r="B273" s="33" t="str">
        <f t="shared" si="16"/>
        <v/>
      </c>
      <c r="C273" s="17"/>
      <c r="D273" s="17"/>
      <c r="E273" s="17"/>
      <c r="F273" s="17"/>
      <c r="G273" s="17"/>
      <c r="H273" s="17"/>
      <c r="I273" s="17"/>
      <c r="J273" s="17"/>
      <c r="K273" s="23"/>
      <c r="L273" s="23"/>
      <c r="M273" s="35" t="str">
        <f t="shared" si="17"/>
        <v/>
      </c>
      <c r="N273" s="31"/>
      <c r="O273" s="35" t="str">
        <f t="shared" si="18"/>
        <v/>
      </c>
      <c r="P273" s="21"/>
      <c r="Q273" s="17"/>
      <c r="R273" s="17"/>
      <c r="S273" s="23"/>
      <c r="T273" s="35" t="str">
        <f t="shared" si="19"/>
        <v/>
      </c>
      <c r="U273" s="17"/>
      <c r="V273" s="17"/>
      <c r="W273" s="17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8" customHeight="1">
      <c r="A274" s="21"/>
      <c r="B274" s="33" t="str">
        <f t="shared" si="16"/>
        <v/>
      </c>
      <c r="C274" s="17"/>
      <c r="D274" s="17"/>
      <c r="E274" s="17"/>
      <c r="F274" s="17"/>
      <c r="G274" s="17"/>
      <c r="H274" s="17"/>
      <c r="I274" s="17"/>
      <c r="J274" s="17"/>
      <c r="K274" s="23"/>
      <c r="L274" s="23"/>
      <c r="M274" s="35" t="str">
        <f t="shared" si="17"/>
        <v/>
      </c>
      <c r="N274" s="31"/>
      <c r="O274" s="35" t="str">
        <f t="shared" si="18"/>
        <v/>
      </c>
      <c r="P274" s="21"/>
      <c r="Q274" s="17"/>
      <c r="R274" s="17"/>
      <c r="S274" s="23"/>
      <c r="T274" s="35" t="str">
        <f t="shared" si="19"/>
        <v/>
      </c>
      <c r="U274" s="17"/>
      <c r="V274" s="17"/>
      <c r="W274" s="17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8" customHeight="1">
      <c r="A275" s="21"/>
      <c r="B275" s="33" t="str">
        <f t="shared" si="16"/>
        <v/>
      </c>
      <c r="C275" s="17"/>
      <c r="D275" s="17"/>
      <c r="E275" s="17"/>
      <c r="F275" s="17"/>
      <c r="G275" s="17"/>
      <c r="H275" s="17"/>
      <c r="I275" s="17"/>
      <c r="J275" s="17"/>
      <c r="K275" s="23"/>
      <c r="L275" s="23"/>
      <c r="M275" s="35" t="str">
        <f t="shared" si="17"/>
        <v/>
      </c>
      <c r="N275" s="31"/>
      <c r="O275" s="35" t="str">
        <f t="shared" si="18"/>
        <v/>
      </c>
      <c r="P275" s="21"/>
      <c r="Q275" s="17"/>
      <c r="R275" s="17"/>
      <c r="S275" s="23"/>
      <c r="T275" s="35" t="str">
        <f t="shared" si="19"/>
        <v/>
      </c>
      <c r="U275" s="17"/>
      <c r="V275" s="17"/>
      <c r="W275" s="17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8" customHeight="1">
      <c r="A276" s="21"/>
      <c r="B276" s="33" t="str">
        <f t="shared" si="16"/>
        <v/>
      </c>
      <c r="C276" s="17"/>
      <c r="D276" s="17"/>
      <c r="E276" s="17"/>
      <c r="F276" s="17"/>
      <c r="G276" s="17"/>
      <c r="H276" s="17"/>
      <c r="I276" s="17"/>
      <c r="J276" s="17"/>
      <c r="K276" s="23"/>
      <c r="L276" s="23"/>
      <c r="M276" s="35" t="str">
        <f t="shared" si="17"/>
        <v/>
      </c>
      <c r="N276" s="31"/>
      <c r="O276" s="35" t="str">
        <f t="shared" si="18"/>
        <v/>
      </c>
      <c r="P276" s="21"/>
      <c r="Q276" s="17"/>
      <c r="R276" s="17"/>
      <c r="S276" s="23"/>
      <c r="T276" s="35" t="str">
        <f t="shared" si="19"/>
        <v/>
      </c>
      <c r="U276" s="17"/>
      <c r="V276" s="17"/>
      <c r="W276" s="17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8" customHeight="1">
      <c r="A277" s="21"/>
      <c r="B277" s="33" t="str">
        <f t="shared" si="16"/>
        <v/>
      </c>
      <c r="C277" s="17"/>
      <c r="D277" s="17"/>
      <c r="E277" s="17"/>
      <c r="F277" s="17"/>
      <c r="G277" s="17"/>
      <c r="H277" s="17"/>
      <c r="I277" s="17"/>
      <c r="J277" s="17"/>
      <c r="K277" s="23"/>
      <c r="L277" s="23"/>
      <c r="M277" s="35" t="str">
        <f t="shared" si="17"/>
        <v/>
      </c>
      <c r="N277" s="31"/>
      <c r="O277" s="35" t="str">
        <f t="shared" si="18"/>
        <v/>
      </c>
      <c r="P277" s="21"/>
      <c r="Q277" s="17"/>
      <c r="R277" s="17"/>
      <c r="S277" s="23"/>
      <c r="T277" s="35" t="str">
        <f t="shared" si="19"/>
        <v/>
      </c>
      <c r="U277" s="17"/>
      <c r="V277" s="17"/>
      <c r="W277" s="17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8" customHeight="1">
      <c r="A278" s="21"/>
      <c r="B278" s="33" t="str">
        <f t="shared" si="16"/>
        <v/>
      </c>
      <c r="C278" s="17"/>
      <c r="D278" s="17"/>
      <c r="E278" s="17"/>
      <c r="F278" s="17"/>
      <c r="G278" s="17"/>
      <c r="H278" s="17"/>
      <c r="I278" s="17"/>
      <c r="J278" s="17"/>
      <c r="K278" s="23"/>
      <c r="L278" s="23"/>
      <c r="M278" s="35" t="str">
        <f t="shared" si="17"/>
        <v/>
      </c>
      <c r="N278" s="31"/>
      <c r="O278" s="35" t="str">
        <f t="shared" si="18"/>
        <v/>
      </c>
      <c r="P278" s="21"/>
      <c r="Q278" s="17"/>
      <c r="R278" s="17"/>
      <c r="S278" s="23"/>
      <c r="T278" s="35" t="str">
        <f t="shared" si="19"/>
        <v/>
      </c>
      <c r="U278" s="17"/>
      <c r="V278" s="17"/>
      <c r="W278" s="17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8" customHeight="1">
      <c r="A279" s="21"/>
      <c r="B279" s="33" t="str">
        <f t="shared" si="16"/>
        <v/>
      </c>
      <c r="C279" s="17"/>
      <c r="D279" s="17"/>
      <c r="E279" s="17"/>
      <c r="F279" s="17"/>
      <c r="G279" s="17"/>
      <c r="H279" s="17"/>
      <c r="I279" s="17"/>
      <c r="J279" s="17"/>
      <c r="K279" s="23"/>
      <c r="L279" s="23"/>
      <c r="M279" s="35" t="str">
        <f t="shared" si="17"/>
        <v/>
      </c>
      <c r="N279" s="31"/>
      <c r="O279" s="35" t="str">
        <f t="shared" si="18"/>
        <v/>
      </c>
      <c r="P279" s="21"/>
      <c r="Q279" s="17"/>
      <c r="R279" s="17"/>
      <c r="S279" s="23"/>
      <c r="T279" s="35" t="str">
        <f t="shared" si="19"/>
        <v/>
      </c>
      <c r="U279" s="17"/>
      <c r="V279" s="17"/>
      <c r="W279" s="17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8" customHeight="1">
      <c r="A280" s="21"/>
      <c r="B280" s="33" t="str">
        <f t="shared" si="16"/>
        <v/>
      </c>
      <c r="C280" s="17"/>
      <c r="D280" s="17"/>
      <c r="E280" s="17"/>
      <c r="F280" s="17"/>
      <c r="G280" s="17"/>
      <c r="H280" s="17"/>
      <c r="I280" s="17"/>
      <c r="J280" s="17"/>
      <c r="K280" s="23"/>
      <c r="L280" s="23"/>
      <c r="M280" s="35" t="str">
        <f t="shared" si="17"/>
        <v/>
      </c>
      <c r="N280" s="31"/>
      <c r="O280" s="35" t="str">
        <f t="shared" si="18"/>
        <v/>
      </c>
      <c r="P280" s="21"/>
      <c r="Q280" s="17"/>
      <c r="R280" s="17"/>
      <c r="S280" s="23"/>
      <c r="T280" s="35" t="str">
        <f t="shared" si="19"/>
        <v/>
      </c>
      <c r="U280" s="17"/>
      <c r="V280" s="17"/>
      <c r="W280" s="17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8" customHeight="1">
      <c r="A281" s="21"/>
      <c r="B281" s="33" t="str">
        <f t="shared" si="16"/>
        <v/>
      </c>
      <c r="C281" s="17"/>
      <c r="D281" s="17"/>
      <c r="E281" s="17"/>
      <c r="F281" s="17"/>
      <c r="G281" s="17"/>
      <c r="H281" s="17"/>
      <c r="I281" s="17"/>
      <c r="J281" s="17"/>
      <c r="K281" s="23"/>
      <c r="L281" s="23"/>
      <c r="M281" s="35" t="str">
        <f t="shared" si="17"/>
        <v/>
      </c>
      <c r="N281" s="31"/>
      <c r="O281" s="35" t="str">
        <f t="shared" si="18"/>
        <v/>
      </c>
      <c r="P281" s="21"/>
      <c r="Q281" s="17"/>
      <c r="R281" s="17"/>
      <c r="S281" s="23"/>
      <c r="T281" s="35" t="str">
        <f t="shared" si="19"/>
        <v/>
      </c>
      <c r="U281" s="17"/>
      <c r="V281" s="17"/>
      <c r="W281" s="17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8" customHeight="1">
      <c r="A282" s="21"/>
      <c r="B282" s="33" t="str">
        <f t="shared" si="16"/>
        <v/>
      </c>
      <c r="C282" s="17"/>
      <c r="D282" s="17"/>
      <c r="E282" s="17"/>
      <c r="F282" s="17"/>
      <c r="G282" s="17"/>
      <c r="H282" s="17"/>
      <c r="I282" s="17"/>
      <c r="J282" s="17"/>
      <c r="K282" s="23"/>
      <c r="L282" s="23"/>
      <c r="M282" s="35" t="str">
        <f t="shared" si="17"/>
        <v/>
      </c>
      <c r="N282" s="31"/>
      <c r="O282" s="35" t="str">
        <f t="shared" si="18"/>
        <v/>
      </c>
      <c r="P282" s="21"/>
      <c r="Q282" s="17"/>
      <c r="R282" s="17"/>
      <c r="S282" s="23"/>
      <c r="T282" s="35" t="str">
        <f t="shared" si="19"/>
        <v/>
      </c>
      <c r="U282" s="17"/>
      <c r="V282" s="17"/>
      <c r="W282" s="17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8" customHeight="1">
      <c r="A283" s="21"/>
      <c r="B283" s="33" t="str">
        <f t="shared" si="16"/>
        <v/>
      </c>
      <c r="C283" s="17"/>
      <c r="D283" s="17"/>
      <c r="E283" s="17"/>
      <c r="F283" s="17"/>
      <c r="G283" s="17"/>
      <c r="H283" s="17"/>
      <c r="I283" s="17"/>
      <c r="J283" s="17"/>
      <c r="K283" s="23"/>
      <c r="L283" s="23"/>
      <c r="M283" s="35" t="str">
        <f t="shared" si="17"/>
        <v/>
      </c>
      <c r="N283" s="31"/>
      <c r="O283" s="35" t="str">
        <f t="shared" si="18"/>
        <v/>
      </c>
      <c r="P283" s="21"/>
      <c r="Q283" s="17"/>
      <c r="R283" s="17"/>
      <c r="S283" s="23"/>
      <c r="T283" s="35" t="str">
        <f t="shared" si="19"/>
        <v/>
      </c>
      <c r="U283" s="17"/>
      <c r="V283" s="17"/>
      <c r="W283" s="17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8" customHeight="1">
      <c r="A284" s="21"/>
      <c r="B284" s="33" t="str">
        <f t="shared" si="16"/>
        <v/>
      </c>
      <c r="C284" s="17"/>
      <c r="D284" s="17"/>
      <c r="E284" s="17"/>
      <c r="F284" s="17"/>
      <c r="G284" s="17"/>
      <c r="H284" s="17"/>
      <c r="I284" s="17"/>
      <c r="J284" s="17"/>
      <c r="K284" s="23"/>
      <c r="L284" s="23"/>
      <c r="M284" s="35" t="str">
        <f t="shared" si="17"/>
        <v/>
      </c>
      <c r="N284" s="31"/>
      <c r="O284" s="35" t="str">
        <f t="shared" si="18"/>
        <v/>
      </c>
      <c r="P284" s="21"/>
      <c r="Q284" s="17"/>
      <c r="R284" s="17"/>
      <c r="S284" s="23"/>
      <c r="T284" s="35" t="str">
        <f t="shared" si="19"/>
        <v/>
      </c>
      <c r="U284" s="17"/>
      <c r="V284" s="17"/>
      <c r="W284" s="17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8" customHeight="1">
      <c r="A285" s="21"/>
      <c r="B285" s="33" t="str">
        <f t="shared" si="16"/>
        <v/>
      </c>
      <c r="C285" s="17"/>
      <c r="D285" s="17"/>
      <c r="E285" s="17"/>
      <c r="F285" s="17"/>
      <c r="G285" s="17"/>
      <c r="H285" s="17"/>
      <c r="I285" s="17"/>
      <c r="J285" s="17"/>
      <c r="K285" s="23"/>
      <c r="L285" s="23"/>
      <c r="M285" s="35" t="str">
        <f t="shared" si="17"/>
        <v/>
      </c>
      <c r="N285" s="31"/>
      <c r="O285" s="35" t="str">
        <f t="shared" si="18"/>
        <v/>
      </c>
      <c r="P285" s="21"/>
      <c r="Q285" s="17"/>
      <c r="R285" s="17"/>
      <c r="S285" s="23"/>
      <c r="T285" s="35" t="str">
        <f t="shared" si="19"/>
        <v/>
      </c>
      <c r="U285" s="17"/>
      <c r="V285" s="17"/>
      <c r="W285" s="17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8" customHeight="1">
      <c r="A286" s="21"/>
      <c r="B286" s="33" t="str">
        <f t="shared" si="16"/>
        <v/>
      </c>
      <c r="C286" s="17"/>
      <c r="D286" s="17"/>
      <c r="E286" s="17"/>
      <c r="F286" s="17"/>
      <c r="G286" s="17"/>
      <c r="H286" s="17"/>
      <c r="I286" s="17"/>
      <c r="J286" s="17"/>
      <c r="K286" s="23"/>
      <c r="L286" s="23"/>
      <c r="M286" s="35" t="str">
        <f t="shared" si="17"/>
        <v/>
      </c>
      <c r="N286" s="31"/>
      <c r="O286" s="35" t="str">
        <f t="shared" si="18"/>
        <v/>
      </c>
      <c r="P286" s="21"/>
      <c r="Q286" s="17"/>
      <c r="R286" s="17"/>
      <c r="S286" s="23"/>
      <c r="T286" s="35" t="str">
        <f t="shared" si="19"/>
        <v/>
      </c>
      <c r="U286" s="17"/>
      <c r="V286" s="17"/>
      <c r="W286" s="17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8" customHeight="1">
      <c r="A287" s="21"/>
      <c r="B287" s="33" t="str">
        <f t="shared" si="16"/>
        <v/>
      </c>
      <c r="C287" s="17"/>
      <c r="D287" s="17"/>
      <c r="E287" s="17"/>
      <c r="F287" s="17"/>
      <c r="G287" s="17"/>
      <c r="H287" s="17"/>
      <c r="I287" s="17"/>
      <c r="J287" s="17"/>
      <c r="K287" s="23"/>
      <c r="L287" s="23"/>
      <c r="M287" s="35" t="str">
        <f t="shared" si="17"/>
        <v/>
      </c>
      <c r="N287" s="31"/>
      <c r="O287" s="35" t="str">
        <f t="shared" si="18"/>
        <v/>
      </c>
      <c r="P287" s="21"/>
      <c r="Q287" s="17"/>
      <c r="R287" s="17"/>
      <c r="S287" s="23"/>
      <c r="T287" s="35" t="str">
        <f t="shared" si="19"/>
        <v/>
      </c>
      <c r="U287" s="17"/>
      <c r="V287" s="17"/>
      <c r="W287" s="17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8" customHeight="1">
      <c r="A288" s="21"/>
      <c r="B288" s="33" t="str">
        <f t="shared" si="16"/>
        <v/>
      </c>
      <c r="C288" s="17"/>
      <c r="D288" s="17"/>
      <c r="E288" s="17"/>
      <c r="F288" s="17"/>
      <c r="G288" s="17"/>
      <c r="H288" s="17"/>
      <c r="I288" s="17"/>
      <c r="J288" s="17"/>
      <c r="K288" s="23"/>
      <c r="L288" s="23"/>
      <c r="M288" s="35" t="str">
        <f t="shared" si="17"/>
        <v/>
      </c>
      <c r="N288" s="31"/>
      <c r="O288" s="35" t="str">
        <f t="shared" si="18"/>
        <v/>
      </c>
      <c r="P288" s="21"/>
      <c r="Q288" s="17"/>
      <c r="R288" s="17"/>
      <c r="S288" s="23"/>
      <c r="T288" s="35" t="str">
        <f t="shared" si="19"/>
        <v/>
      </c>
      <c r="U288" s="17"/>
      <c r="V288" s="17"/>
      <c r="W288" s="17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8" customHeight="1">
      <c r="A289" s="21"/>
      <c r="B289" s="33" t="str">
        <f t="shared" si="16"/>
        <v/>
      </c>
      <c r="C289" s="17"/>
      <c r="D289" s="17"/>
      <c r="E289" s="17"/>
      <c r="F289" s="17"/>
      <c r="G289" s="17"/>
      <c r="H289" s="17"/>
      <c r="I289" s="17"/>
      <c r="J289" s="17"/>
      <c r="K289" s="23"/>
      <c r="L289" s="23"/>
      <c r="M289" s="35" t="str">
        <f t="shared" si="17"/>
        <v/>
      </c>
      <c r="N289" s="31"/>
      <c r="O289" s="35" t="str">
        <f t="shared" si="18"/>
        <v/>
      </c>
      <c r="P289" s="21"/>
      <c r="Q289" s="17"/>
      <c r="R289" s="17"/>
      <c r="S289" s="23"/>
      <c r="T289" s="35" t="str">
        <f t="shared" si="19"/>
        <v/>
      </c>
      <c r="U289" s="17"/>
      <c r="V289" s="17"/>
      <c r="W289" s="17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8" customHeight="1">
      <c r="A290" s="21"/>
      <c r="B290" s="33" t="str">
        <f t="shared" si="16"/>
        <v/>
      </c>
      <c r="C290" s="17"/>
      <c r="D290" s="17"/>
      <c r="E290" s="17"/>
      <c r="F290" s="17"/>
      <c r="G290" s="17"/>
      <c r="H290" s="17"/>
      <c r="I290" s="17"/>
      <c r="J290" s="17"/>
      <c r="K290" s="23"/>
      <c r="L290" s="23"/>
      <c r="M290" s="35" t="str">
        <f t="shared" si="17"/>
        <v/>
      </c>
      <c r="N290" s="31"/>
      <c r="O290" s="35" t="str">
        <f t="shared" si="18"/>
        <v/>
      </c>
      <c r="P290" s="21"/>
      <c r="Q290" s="17"/>
      <c r="R290" s="17"/>
      <c r="S290" s="23"/>
      <c r="T290" s="35" t="str">
        <f t="shared" si="19"/>
        <v/>
      </c>
      <c r="U290" s="17"/>
      <c r="V290" s="17"/>
      <c r="W290" s="17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8" customHeight="1">
      <c r="A291" s="21"/>
      <c r="B291" s="33" t="str">
        <f t="shared" si="16"/>
        <v/>
      </c>
      <c r="C291" s="17"/>
      <c r="D291" s="17"/>
      <c r="E291" s="17"/>
      <c r="F291" s="17"/>
      <c r="G291" s="17"/>
      <c r="H291" s="17"/>
      <c r="I291" s="17"/>
      <c r="J291" s="17"/>
      <c r="K291" s="23"/>
      <c r="L291" s="23"/>
      <c r="M291" s="35" t="str">
        <f t="shared" si="17"/>
        <v/>
      </c>
      <c r="N291" s="31"/>
      <c r="O291" s="35" t="str">
        <f t="shared" si="18"/>
        <v/>
      </c>
      <c r="P291" s="21"/>
      <c r="Q291" s="17"/>
      <c r="R291" s="17"/>
      <c r="S291" s="23"/>
      <c r="T291" s="35" t="str">
        <f t="shared" si="19"/>
        <v/>
      </c>
      <c r="U291" s="17"/>
      <c r="V291" s="17"/>
      <c r="W291" s="17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8" customHeight="1">
      <c r="A292" s="21"/>
      <c r="B292" s="33" t="str">
        <f t="shared" si="16"/>
        <v/>
      </c>
      <c r="C292" s="17"/>
      <c r="D292" s="17"/>
      <c r="E292" s="17"/>
      <c r="F292" s="17"/>
      <c r="G292" s="17"/>
      <c r="H292" s="17"/>
      <c r="I292" s="17"/>
      <c r="J292" s="17"/>
      <c r="K292" s="23"/>
      <c r="L292" s="23"/>
      <c r="M292" s="35" t="str">
        <f t="shared" si="17"/>
        <v/>
      </c>
      <c r="N292" s="31"/>
      <c r="O292" s="35" t="str">
        <f t="shared" si="18"/>
        <v/>
      </c>
      <c r="P292" s="21"/>
      <c r="Q292" s="17"/>
      <c r="R292" s="17"/>
      <c r="S292" s="23"/>
      <c r="T292" s="35" t="str">
        <f t="shared" si="19"/>
        <v/>
      </c>
      <c r="U292" s="17"/>
      <c r="V292" s="17"/>
      <c r="W292" s="17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8" customHeight="1">
      <c r="A293" s="21"/>
      <c r="B293" s="33" t="str">
        <f t="shared" si="16"/>
        <v/>
      </c>
      <c r="C293" s="17"/>
      <c r="D293" s="17"/>
      <c r="E293" s="17"/>
      <c r="F293" s="17"/>
      <c r="G293" s="17"/>
      <c r="H293" s="17"/>
      <c r="I293" s="17"/>
      <c r="J293" s="17"/>
      <c r="K293" s="23"/>
      <c r="L293" s="23"/>
      <c r="M293" s="35" t="str">
        <f t="shared" si="17"/>
        <v/>
      </c>
      <c r="N293" s="31"/>
      <c r="O293" s="35" t="str">
        <f t="shared" si="18"/>
        <v/>
      </c>
      <c r="P293" s="21"/>
      <c r="Q293" s="17"/>
      <c r="R293" s="17"/>
      <c r="S293" s="23"/>
      <c r="T293" s="35" t="str">
        <f t="shared" si="19"/>
        <v/>
      </c>
      <c r="U293" s="17"/>
      <c r="V293" s="17"/>
      <c r="W293" s="17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8" customHeight="1">
      <c r="A294" s="21"/>
      <c r="B294" s="33" t="str">
        <f t="shared" si="16"/>
        <v/>
      </c>
      <c r="C294" s="17"/>
      <c r="D294" s="17"/>
      <c r="E294" s="17"/>
      <c r="F294" s="17"/>
      <c r="G294" s="17"/>
      <c r="H294" s="17"/>
      <c r="I294" s="17"/>
      <c r="J294" s="17"/>
      <c r="K294" s="23"/>
      <c r="L294" s="23"/>
      <c r="M294" s="35" t="str">
        <f t="shared" si="17"/>
        <v/>
      </c>
      <c r="N294" s="31"/>
      <c r="O294" s="35" t="str">
        <f t="shared" si="18"/>
        <v/>
      </c>
      <c r="P294" s="21"/>
      <c r="Q294" s="17"/>
      <c r="R294" s="17"/>
      <c r="S294" s="23"/>
      <c r="T294" s="35" t="str">
        <f t="shared" si="19"/>
        <v/>
      </c>
      <c r="U294" s="17"/>
      <c r="V294" s="17"/>
      <c r="W294" s="17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8" customHeight="1">
      <c r="A295" s="21"/>
      <c r="B295" s="33" t="str">
        <f t="shared" si="16"/>
        <v/>
      </c>
      <c r="C295" s="17"/>
      <c r="D295" s="17"/>
      <c r="E295" s="17"/>
      <c r="F295" s="17"/>
      <c r="G295" s="17"/>
      <c r="H295" s="17"/>
      <c r="I295" s="17"/>
      <c r="J295" s="17"/>
      <c r="K295" s="23"/>
      <c r="L295" s="23"/>
      <c r="M295" s="35" t="str">
        <f t="shared" si="17"/>
        <v/>
      </c>
      <c r="N295" s="31"/>
      <c r="O295" s="35" t="str">
        <f t="shared" si="18"/>
        <v/>
      </c>
      <c r="P295" s="21"/>
      <c r="Q295" s="17"/>
      <c r="R295" s="17"/>
      <c r="S295" s="23"/>
      <c r="T295" s="35" t="str">
        <f t="shared" si="19"/>
        <v/>
      </c>
      <c r="U295" s="17"/>
      <c r="V295" s="17"/>
      <c r="W295" s="17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8" customHeight="1">
      <c r="A296" s="21"/>
      <c r="B296" s="33" t="str">
        <f t="shared" si="16"/>
        <v/>
      </c>
      <c r="C296" s="17"/>
      <c r="D296" s="17"/>
      <c r="E296" s="17"/>
      <c r="F296" s="17"/>
      <c r="G296" s="17"/>
      <c r="H296" s="17"/>
      <c r="I296" s="17"/>
      <c r="J296" s="17"/>
      <c r="K296" s="23"/>
      <c r="L296" s="23"/>
      <c r="M296" s="35" t="str">
        <f t="shared" si="17"/>
        <v/>
      </c>
      <c r="N296" s="31"/>
      <c r="O296" s="35" t="str">
        <f t="shared" si="18"/>
        <v/>
      </c>
      <c r="P296" s="21"/>
      <c r="Q296" s="17"/>
      <c r="R296" s="17"/>
      <c r="S296" s="23"/>
      <c r="T296" s="35" t="str">
        <f t="shared" si="19"/>
        <v/>
      </c>
      <c r="U296" s="17"/>
      <c r="V296" s="17"/>
      <c r="W296" s="17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8" customHeight="1">
      <c r="A297" s="21"/>
      <c r="B297" s="33" t="str">
        <f t="shared" si="16"/>
        <v/>
      </c>
      <c r="C297" s="17"/>
      <c r="D297" s="17"/>
      <c r="E297" s="17"/>
      <c r="F297" s="17"/>
      <c r="G297" s="17"/>
      <c r="H297" s="17"/>
      <c r="I297" s="17"/>
      <c r="J297" s="17"/>
      <c r="K297" s="23"/>
      <c r="L297" s="23"/>
      <c r="M297" s="35" t="str">
        <f t="shared" si="17"/>
        <v/>
      </c>
      <c r="N297" s="31"/>
      <c r="O297" s="35" t="str">
        <f t="shared" si="18"/>
        <v/>
      </c>
      <c r="P297" s="21"/>
      <c r="Q297" s="17"/>
      <c r="R297" s="17"/>
      <c r="S297" s="23"/>
      <c r="T297" s="35" t="str">
        <f t="shared" si="19"/>
        <v/>
      </c>
      <c r="U297" s="17"/>
      <c r="V297" s="17"/>
      <c r="W297" s="17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8" customHeight="1">
      <c r="A298" s="21"/>
      <c r="B298" s="33" t="str">
        <f t="shared" si="16"/>
        <v/>
      </c>
      <c r="C298" s="17"/>
      <c r="D298" s="17"/>
      <c r="E298" s="17"/>
      <c r="F298" s="17"/>
      <c r="G298" s="17"/>
      <c r="H298" s="17"/>
      <c r="I298" s="17"/>
      <c r="J298" s="17"/>
      <c r="K298" s="23"/>
      <c r="L298" s="23"/>
      <c r="M298" s="35" t="str">
        <f t="shared" si="17"/>
        <v/>
      </c>
      <c r="N298" s="31"/>
      <c r="O298" s="35" t="str">
        <f t="shared" si="18"/>
        <v/>
      </c>
      <c r="P298" s="21"/>
      <c r="Q298" s="17"/>
      <c r="R298" s="17"/>
      <c r="S298" s="23"/>
      <c r="T298" s="35" t="str">
        <f t="shared" si="19"/>
        <v/>
      </c>
      <c r="U298" s="17"/>
      <c r="V298" s="17"/>
      <c r="W298" s="17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8" customHeight="1">
      <c r="A299" s="21"/>
      <c r="B299" s="33" t="str">
        <f t="shared" si="16"/>
        <v/>
      </c>
      <c r="C299" s="17"/>
      <c r="D299" s="17"/>
      <c r="E299" s="17"/>
      <c r="F299" s="17"/>
      <c r="G299" s="17"/>
      <c r="H299" s="17"/>
      <c r="I299" s="17"/>
      <c r="J299" s="17"/>
      <c r="K299" s="23"/>
      <c r="L299" s="23"/>
      <c r="M299" s="35" t="str">
        <f t="shared" si="17"/>
        <v/>
      </c>
      <c r="N299" s="31"/>
      <c r="O299" s="35" t="str">
        <f t="shared" si="18"/>
        <v/>
      </c>
      <c r="P299" s="21"/>
      <c r="Q299" s="17"/>
      <c r="R299" s="17"/>
      <c r="S299" s="23"/>
      <c r="T299" s="35" t="str">
        <f t="shared" si="19"/>
        <v/>
      </c>
      <c r="U299" s="17"/>
      <c r="V299" s="17"/>
      <c r="W299" s="17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8" customHeight="1">
      <c r="A300" s="21"/>
      <c r="B300" s="33" t="str">
        <f t="shared" si="16"/>
        <v/>
      </c>
      <c r="C300" s="17"/>
      <c r="D300" s="17"/>
      <c r="E300" s="17"/>
      <c r="F300" s="17"/>
      <c r="G300" s="17"/>
      <c r="H300" s="17"/>
      <c r="I300" s="17"/>
      <c r="J300" s="17"/>
      <c r="K300" s="23"/>
      <c r="L300" s="23"/>
      <c r="M300" s="35" t="str">
        <f t="shared" si="17"/>
        <v/>
      </c>
      <c r="N300" s="31"/>
      <c r="O300" s="35" t="str">
        <f t="shared" si="18"/>
        <v/>
      </c>
      <c r="P300" s="21"/>
      <c r="Q300" s="17"/>
      <c r="R300" s="17"/>
      <c r="S300" s="23"/>
      <c r="T300" s="35" t="str">
        <f t="shared" si="19"/>
        <v/>
      </c>
      <c r="U300" s="17"/>
      <c r="V300" s="17"/>
      <c r="W300" s="17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8" customHeight="1">
      <c r="A301" s="21"/>
      <c r="B301" s="33" t="str">
        <f t="shared" si="16"/>
        <v/>
      </c>
      <c r="C301" s="17"/>
      <c r="D301" s="17"/>
      <c r="E301" s="17"/>
      <c r="F301" s="17"/>
      <c r="G301" s="17"/>
      <c r="H301" s="17"/>
      <c r="I301" s="17"/>
      <c r="J301" s="17"/>
      <c r="K301" s="23"/>
      <c r="L301" s="23"/>
      <c r="M301" s="35" t="str">
        <f t="shared" si="17"/>
        <v/>
      </c>
      <c r="N301" s="31"/>
      <c r="O301" s="35" t="str">
        <f t="shared" si="18"/>
        <v/>
      </c>
      <c r="P301" s="21"/>
      <c r="Q301" s="17"/>
      <c r="R301" s="17"/>
      <c r="S301" s="23"/>
      <c r="T301" s="35" t="str">
        <f t="shared" si="19"/>
        <v/>
      </c>
      <c r="U301" s="17"/>
      <c r="V301" s="17"/>
      <c r="W301" s="17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8" customHeight="1">
      <c r="A302" s="21"/>
      <c r="B302" s="33" t="str">
        <f t="shared" si="16"/>
        <v/>
      </c>
      <c r="C302" s="17"/>
      <c r="D302" s="17"/>
      <c r="E302" s="17"/>
      <c r="F302" s="17"/>
      <c r="G302" s="17"/>
      <c r="H302" s="17"/>
      <c r="I302" s="17"/>
      <c r="J302" s="17"/>
      <c r="K302" s="23"/>
      <c r="L302" s="23"/>
      <c r="M302" s="35" t="str">
        <f t="shared" si="17"/>
        <v/>
      </c>
      <c r="N302" s="31"/>
      <c r="O302" s="35" t="str">
        <f t="shared" si="18"/>
        <v/>
      </c>
      <c r="P302" s="21"/>
      <c r="Q302" s="17"/>
      <c r="R302" s="17"/>
      <c r="S302" s="23"/>
      <c r="T302" s="35" t="str">
        <f t="shared" si="19"/>
        <v/>
      </c>
      <c r="U302" s="17"/>
      <c r="V302" s="17"/>
      <c r="W302" s="17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8" customHeight="1">
      <c r="A303" s="21"/>
      <c r="B303" s="33" t="str">
        <f t="shared" si="16"/>
        <v/>
      </c>
      <c r="C303" s="17"/>
      <c r="D303" s="17"/>
      <c r="E303" s="17"/>
      <c r="F303" s="17"/>
      <c r="G303" s="17"/>
      <c r="H303" s="17"/>
      <c r="I303" s="17"/>
      <c r="J303" s="17"/>
      <c r="K303" s="23"/>
      <c r="L303" s="23"/>
      <c r="M303" s="35" t="str">
        <f t="shared" si="17"/>
        <v/>
      </c>
      <c r="N303" s="31"/>
      <c r="O303" s="35" t="str">
        <f t="shared" si="18"/>
        <v/>
      </c>
      <c r="P303" s="21"/>
      <c r="Q303" s="17"/>
      <c r="R303" s="17"/>
      <c r="S303" s="23"/>
      <c r="T303" s="35" t="str">
        <f t="shared" si="19"/>
        <v/>
      </c>
      <c r="U303" s="17"/>
      <c r="V303" s="17"/>
      <c r="W303" s="17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8" customHeight="1">
      <c r="A304" s="21"/>
      <c r="B304" s="33" t="str">
        <f t="shared" si="16"/>
        <v/>
      </c>
      <c r="C304" s="17"/>
      <c r="D304" s="17"/>
      <c r="E304" s="17"/>
      <c r="F304" s="17"/>
      <c r="G304" s="17"/>
      <c r="H304" s="17"/>
      <c r="I304" s="17"/>
      <c r="J304" s="17"/>
      <c r="K304" s="23"/>
      <c r="L304" s="23"/>
      <c r="M304" s="35" t="str">
        <f t="shared" si="17"/>
        <v/>
      </c>
      <c r="N304" s="31"/>
      <c r="O304" s="35" t="str">
        <f t="shared" si="18"/>
        <v/>
      </c>
      <c r="P304" s="21"/>
      <c r="Q304" s="17"/>
      <c r="R304" s="17"/>
      <c r="S304" s="23"/>
      <c r="T304" s="35" t="str">
        <f t="shared" si="19"/>
        <v/>
      </c>
      <c r="U304" s="17"/>
      <c r="V304" s="17"/>
      <c r="W304" s="17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8" customHeight="1">
      <c r="A305" s="21"/>
      <c r="B305" s="33" t="str">
        <f t="shared" si="16"/>
        <v/>
      </c>
      <c r="C305" s="17"/>
      <c r="D305" s="17"/>
      <c r="E305" s="17"/>
      <c r="F305" s="17"/>
      <c r="G305" s="17"/>
      <c r="H305" s="17"/>
      <c r="I305" s="17"/>
      <c r="J305" s="17"/>
      <c r="K305" s="23"/>
      <c r="L305" s="23"/>
      <c r="M305" s="35" t="str">
        <f t="shared" si="17"/>
        <v/>
      </c>
      <c r="N305" s="31"/>
      <c r="O305" s="35" t="str">
        <f t="shared" si="18"/>
        <v/>
      </c>
      <c r="P305" s="21"/>
      <c r="Q305" s="17"/>
      <c r="R305" s="17"/>
      <c r="S305" s="23"/>
      <c r="T305" s="35" t="str">
        <f t="shared" si="19"/>
        <v/>
      </c>
      <c r="U305" s="17"/>
      <c r="V305" s="17"/>
      <c r="W305" s="17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8" customHeight="1">
      <c r="A306" s="22"/>
      <c r="B306" s="34" t="str">
        <f t="shared" si="16"/>
        <v/>
      </c>
      <c r="C306" s="18"/>
      <c r="D306" s="18"/>
      <c r="E306" s="18"/>
      <c r="F306" s="18"/>
      <c r="G306" s="18"/>
      <c r="H306" s="18"/>
      <c r="I306" s="18"/>
      <c r="J306" s="18"/>
      <c r="K306" s="24"/>
      <c r="L306" s="24"/>
      <c r="M306" s="36" t="str">
        <f t="shared" si="17"/>
        <v/>
      </c>
      <c r="N306" s="32"/>
      <c r="O306" s="36" t="str">
        <f t="shared" si="18"/>
        <v/>
      </c>
      <c r="P306" s="22"/>
      <c r="Q306" s="18"/>
      <c r="R306" s="18"/>
      <c r="S306" s="24"/>
      <c r="T306" s="36" t="str">
        <f t="shared" si="19"/>
        <v/>
      </c>
      <c r="U306" s="18"/>
      <c r="V306" s="18"/>
      <c r="W306" s="18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</sheetData>
  <conditionalFormatting sqref="T7:T30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300-000000000000}">
          <x14:formula1>
            <xm:f>Lists!$J$2:$J$10</xm:f>
          </x14:formula1>
          <xm:sqref>F7:F306</xm:sqref>
        </x14:dataValidation>
        <x14:dataValidation type="list" xr:uid="{00000000-0002-0000-0300-000001000000}">
          <x14:formula1>
            <xm:f>Lists!$B$2:$B$10</xm:f>
          </x14:formula1>
          <xm:sqref>G7:G306</xm:sqref>
        </x14:dataValidation>
        <x14:dataValidation type="list" xr:uid="{00000000-0002-0000-0300-000002000000}">
          <x14:formula1>
            <xm:f>Lists!$C$2:$C$10</xm:f>
          </x14:formula1>
          <xm:sqref>H7:H306</xm:sqref>
        </x14:dataValidation>
        <x14:dataValidation type="list" xr:uid="{00000000-0002-0000-0300-000003000000}">
          <x14:formula1>
            <xm:f>Lists!$K$2:$K$7</xm:f>
          </x14:formula1>
          <xm:sqref>Q7:Q306</xm:sqref>
        </x14:dataValidation>
        <x14:dataValidation type="list" xr:uid="{00000000-0002-0000-0300-000004000000}">
          <x14:formula1>
            <xm:f>Lists!$O$2:$O$6</xm:f>
          </x14:formula1>
          <xm:sqref>R7:R306</xm:sqref>
        </x14:dataValidation>
        <x14:dataValidation type="list" xr:uid="{00000000-0002-0000-0300-000005000000}">
          <x14:formula1>
            <xm:f>Lists!$L$2:$L$3</xm:f>
          </x14:formula1>
          <xm:sqref>U7:U306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AZ400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5" width="18" customWidth="1"/>
  </cols>
  <sheetData>
    <row r="1" spans="1:52">
      <c r="A1" s="4" t="s">
        <v>90</v>
      </c>
      <c r="B1" s="5" t="s">
        <v>69</v>
      </c>
      <c r="C1" s="5" t="s">
        <v>27</v>
      </c>
      <c r="D1" s="5" t="s">
        <v>137</v>
      </c>
      <c r="E1" s="5" t="s">
        <v>138</v>
      </c>
      <c r="F1" s="5" t="s">
        <v>85</v>
      </c>
      <c r="G1" s="5" t="s">
        <v>70</v>
      </c>
      <c r="H1" s="5" t="s">
        <v>75</v>
      </c>
      <c r="I1" s="5" t="s">
        <v>139</v>
      </c>
      <c r="J1" s="5" t="s">
        <v>24</v>
      </c>
      <c r="K1" s="5" t="s">
        <v>132</v>
      </c>
      <c r="L1" s="5" t="s">
        <v>140</v>
      </c>
      <c r="M1" s="5" t="s">
        <v>116</v>
      </c>
      <c r="N1" s="5" t="s">
        <v>86</v>
      </c>
      <c r="O1" s="6" t="s">
        <v>111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7" t="s">
        <v>141</v>
      </c>
      <c r="B2" s="8" t="s">
        <v>142</v>
      </c>
      <c r="C2" s="8" t="s">
        <v>31</v>
      </c>
      <c r="D2" s="8" t="s">
        <v>143</v>
      </c>
      <c r="E2" s="8" t="s">
        <v>144</v>
      </c>
      <c r="F2" s="8" t="s">
        <v>145</v>
      </c>
      <c r="G2" s="8" t="s">
        <v>146</v>
      </c>
      <c r="H2" s="8" t="s">
        <v>147</v>
      </c>
      <c r="I2" s="8" t="s">
        <v>148</v>
      </c>
      <c r="J2" s="8" t="s">
        <v>30</v>
      </c>
      <c r="K2" s="8" t="s">
        <v>149</v>
      </c>
      <c r="L2" s="8" t="s">
        <v>150</v>
      </c>
      <c r="M2" s="8" t="s">
        <v>151</v>
      </c>
      <c r="N2" s="8" t="s">
        <v>152</v>
      </c>
      <c r="O2" s="9" t="s">
        <v>153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7" t="s">
        <v>154</v>
      </c>
      <c r="B3" s="8" t="s">
        <v>155</v>
      </c>
      <c r="C3" s="8" t="s">
        <v>33</v>
      </c>
      <c r="D3" s="8" t="s">
        <v>156</v>
      </c>
      <c r="E3" s="8" t="s">
        <v>157</v>
      </c>
      <c r="F3" s="8" t="s">
        <v>158</v>
      </c>
      <c r="G3" s="8" t="s">
        <v>159</v>
      </c>
      <c r="H3" s="8" t="s">
        <v>160</v>
      </c>
      <c r="I3" s="8" t="s">
        <v>161</v>
      </c>
      <c r="J3" s="8" t="s">
        <v>32</v>
      </c>
      <c r="K3" s="8" t="s">
        <v>162</v>
      </c>
      <c r="L3" s="8" t="s">
        <v>163</v>
      </c>
      <c r="M3" s="8" t="s">
        <v>162</v>
      </c>
      <c r="N3" s="8" t="s">
        <v>164</v>
      </c>
      <c r="O3" s="9" t="s">
        <v>165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7" t="s">
        <v>166</v>
      </c>
      <c r="B4" s="8" t="s">
        <v>167</v>
      </c>
      <c r="C4" s="8" t="s">
        <v>35</v>
      </c>
      <c r="D4" s="8" t="s">
        <v>168</v>
      </c>
      <c r="E4" s="8"/>
      <c r="F4" s="8" t="s">
        <v>169</v>
      </c>
      <c r="G4" s="8" t="s">
        <v>170</v>
      </c>
      <c r="H4" s="8" t="s">
        <v>171</v>
      </c>
      <c r="I4" s="8" t="s">
        <v>172</v>
      </c>
      <c r="J4" s="8" t="s">
        <v>34</v>
      </c>
      <c r="K4" s="8" t="s">
        <v>173</v>
      </c>
      <c r="L4" s="8"/>
      <c r="M4" s="8" t="s">
        <v>174</v>
      </c>
      <c r="N4" s="8" t="s">
        <v>175</v>
      </c>
      <c r="O4" s="9" t="s">
        <v>176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7" t="s">
        <v>177</v>
      </c>
      <c r="B5" s="8" t="s">
        <v>178</v>
      </c>
      <c r="C5" s="8" t="s">
        <v>37</v>
      </c>
      <c r="D5" s="8" t="s">
        <v>179</v>
      </c>
      <c r="E5" s="8"/>
      <c r="F5" s="8" t="s">
        <v>180</v>
      </c>
      <c r="G5" s="8" t="s">
        <v>181</v>
      </c>
      <c r="H5" s="8" t="s">
        <v>182</v>
      </c>
      <c r="I5" s="8" t="s">
        <v>183</v>
      </c>
      <c r="J5" s="8" t="s">
        <v>36</v>
      </c>
      <c r="K5" s="8" t="s">
        <v>184</v>
      </c>
      <c r="L5" s="8"/>
      <c r="M5" s="8"/>
      <c r="N5" s="8" t="s">
        <v>185</v>
      </c>
      <c r="O5" s="9" t="s">
        <v>186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7" t="s">
        <v>187</v>
      </c>
      <c r="B6" s="8" t="s">
        <v>188</v>
      </c>
      <c r="C6" s="8" t="s">
        <v>39</v>
      </c>
      <c r="D6" s="8" t="s">
        <v>189</v>
      </c>
      <c r="E6" s="8"/>
      <c r="F6" s="8"/>
      <c r="G6" s="8"/>
      <c r="H6" s="8" t="s">
        <v>190</v>
      </c>
      <c r="I6" s="8" t="s">
        <v>191</v>
      </c>
      <c r="J6" s="8" t="s">
        <v>38</v>
      </c>
      <c r="K6" s="8" t="s">
        <v>192</v>
      </c>
      <c r="L6" s="8"/>
      <c r="M6" s="8"/>
      <c r="N6" s="8"/>
      <c r="O6" s="9" t="s">
        <v>45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>
      <c r="A7" s="7"/>
      <c r="B7" s="8" t="s">
        <v>43</v>
      </c>
      <c r="C7" s="8" t="s">
        <v>41</v>
      </c>
      <c r="D7" s="8"/>
      <c r="E7" s="8"/>
      <c r="F7" s="8"/>
      <c r="G7" s="8"/>
      <c r="H7" s="8" t="s">
        <v>193</v>
      </c>
      <c r="I7" s="8" t="s">
        <v>194</v>
      </c>
      <c r="J7" s="8" t="s">
        <v>40</v>
      </c>
      <c r="K7" s="8"/>
      <c r="L7" s="8"/>
      <c r="M7" s="8"/>
      <c r="N7" s="8"/>
      <c r="O7" s="9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7"/>
      <c r="B8" s="8" t="s">
        <v>195</v>
      </c>
      <c r="C8" s="8" t="s">
        <v>42</v>
      </c>
      <c r="D8" s="8"/>
      <c r="E8" s="8"/>
      <c r="F8" s="8"/>
      <c r="G8" s="8"/>
      <c r="H8" s="8" t="s">
        <v>45</v>
      </c>
      <c r="I8" s="8"/>
      <c r="J8" s="8" t="s">
        <v>42</v>
      </c>
      <c r="K8" s="8"/>
      <c r="L8" s="8"/>
      <c r="M8" s="8"/>
      <c r="N8" s="8"/>
      <c r="O8" s="9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7"/>
      <c r="B9" s="8" t="s">
        <v>196</v>
      </c>
      <c r="C9" s="8" t="s">
        <v>44</v>
      </c>
      <c r="D9" s="8"/>
      <c r="E9" s="8"/>
      <c r="F9" s="8"/>
      <c r="G9" s="8"/>
      <c r="H9" s="8"/>
      <c r="I9" s="8"/>
      <c r="J9" s="8" t="s">
        <v>43</v>
      </c>
      <c r="K9" s="8"/>
      <c r="L9" s="8"/>
      <c r="M9" s="8"/>
      <c r="N9" s="8"/>
      <c r="O9" s="9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0"/>
      <c r="B10" s="11" t="s">
        <v>45</v>
      </c>
      <c r="C10" s="11" t="s">
        <v>46</v>
      </c>
      <c r="D10" s="11"/>
      <c r="E10" s="11"/>
      <c r="F10" s="11"/>
      <c r="G10" s="11"/>
      <c r="H10" s="11"/>
      <c r="I10" s="11"/>
      <c r="J10" s="11" t="s">
        <v>45</v>
      </c>
      <c r="K10" s="11"/>
      <c r="L10" s="11"/>
      <c r="M10" s="11"/>
      <c r="N10" s="11"/>
      <c r="O10" s="1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Software Register</vt:lpstr>
      <vt:lpstr>Online Subscriptions</vt:lpstr>
      <vt:lpstr>IT Spend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 Singh Kushwaha</dc:creator>
  <cp:lastModifiedBy>Sandeep Kushwaha</cp:lastModifiedBy>
  <dcterms:created xsi:type="dcterms:W3CDTF">2026-09-17T07:49:30Z</dcterms:created>
  <dcterms:modified xsi:type="dcterms:W3CDTF">2026-09-17T07:49:30Z</dcterms:modified>
</cp:coreProperties>
</file>